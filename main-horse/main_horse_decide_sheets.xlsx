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02_programs\01_horse_racing\HorseRacing\main-horse\"/>
    </mc:Choice>
  </mc:AlternateContent>
  <xr:revisionPtr revIDLastSave="0" documentId="13_ncr:1_{512826E6-F621-4578-AF66-4B3C5538B404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WIN 1" sheetId="1" r:id="rId1"/>
    <sheet name="WIN 2" sheetId="2" r:id="rId2"/>
    <sheet name="WIN 3" sheetId="3" r:id="rId3"/>
    <sheet name="WIN 4" sheetId="4" r:id="rId4"/>
    <sheet name="WIN 5" sheetId="5" r:id="rId5"/>
  </sheets>
  <definedNames>
    <definedName name="_xlnm._FilterDatabase" localSheetId="0" hidden="1">'WIN 1'!$A$1:$AP$1</definedName>
    <definedName name="_xlnm._FilterDatabase" localSheetId="1" hidden="1">'WIN 2'!$A$1:$AP$1</definedName>
    <definedName name="_xlnm._FilterDatabase" localSheetId="2" hidden="1">'WIN 3'!$A$1:$AP$1</definedName>
    <definedName name="_xlnm._FilterDatabase" localSheetId="3" hidden="1">'WIN 4'!$A$1:$AP$1</definedName>
    <definedName name="_xlnm._FilterDatabase" localSheetId="4" hidden="1">'WIN 5'!$A$1:$AP$1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3" i="5" l="1"/>
  <c r="AR29" i="5"/>
  <c r="AV21" i="5"/>
  <c r="AV20" i="5"/>
  <c r="AV19" i="5"/>
  <c r="AV18" i="5"/>
  <c r="AV17" i="5"/>
  <c r="AV16" i="5"/>
  <c r="AV15" i="5"/>
  <c r="AV14" i="5"/>
  <c r="AV13" i="5"/>
  <c r="AV12" i="5"/>
  <c r="AV11" i="5"/>
  <c r="AV10" i="5"/>
  <c r="AV9" i="5"/>
  <c r="AV8" i="5"/>
  <c r="AV7" i="5"/>
  <c r="AV6" i="5"/>
  <c r="AV5" i="5"/>
  <c r="AV4" i="5"/>
  <c r="AV3" i="5"/>
  <c r="AV2" i="5"/>
  <c r="AR33" i="4"/>
  <c r="AR29" i="4"/>
  <c r="AV21" i="4"/>
  <c r="AV20" i="4"/>
  <c r="AV19" i="4"/>
  <c r="AV18" i="4"/>
  <c r="AV17" i="4"/>
  <c r="AV16" i="4"/>
  <c r="AV15" i="4"/>
  <c r="AV14" i="4"/>
  <c r="AV13" i="4"/>
  <c r="AV12" i="4"/>
  <c r="AV11" i="4"/>
  <c r="AV10" i="4"/>
  <c r="AV9" i="4"/>
  <c r="AV8" i="4"/>
  <c r="AV7" i="4"/>
  <c r="AV6" i="4"/>
  <c r="AV5" i="4"/>
  <c r="AV4" i="4"/>
  <c r="AV3" i="4"/>
  <c r="AV2" i="4"/>
  <c r="AR33" i="3"/>
  <c r="AR29" i="3"/>
  <c r="AV21" i="3"/>
  <c r="AV20" i="3"/>
  <c r="AV19" i="3"/>
  <c r="AV18" i="3"/>
  <c r="AV17" i="3"/>
  <c r="AV16" i="3"/>
  <c r="AV15" i="3"/>
  <c r="AV14" i="3"/>
  <c r="AV13" i="3"/>
  <c r="AV12" i="3"/>
  <c r="AV11" i="3"/>
  <c r="AV10" i="3"/>
  <c r="AV9" i="3"/>
  <c r="AV8" i="3"/>
  <c r="AV7" i="3"/>
  <c r="AV6" i="3"/>
  <c r="AV5" i="3"/>
  <c r="AV4" i="3"/>
  <c r="AV3" i="3"/>
  <c r="AV2" i="3"/>
  <c r="AR33" i="2"/>
  <c r="AR29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V3" i="2"/>
  <c r="AV2" i="2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V3" i="1"/>
  <c r="AV2" i="1"/>
  <c r="AN21" i="5"/>
  <c r="AM21" i="5"/>
  <c r="AL21" i="5"/>
  <c r="AK21" i="5"/>
  <c r="AO21" i="5" s="1"/>
  <c r="AJ21" i="5"/>
  <c r="AI21" i="5"/>
  <c r="AN20" i="5"/>
  <c r="AM20" i="5"/>
  <c r="AL20" i="5"/>
  <c r="AK20" i="5"/>
  <c r="AO20" i="5" s="1"/>
  <c r="AJ20" i="5"/>
  <c r="AI20" i="5"/>
  <c r="AN19" i="5"/>
  <c r="AM19" i="5"/>
  <c r="AL19" i="5"/>
  <c r="AK19" i="5"/>
  <c r="AO19" i="5" s="1"/>
  <c r="AJ19" i="5"/>
  <c r="AI19" i="5"/>
  <c r="AN18" i="5"/>
  <c r="AM18" i="5"/>
  <c r="AL18" i="5"/>
  <c r="AK18" i="5"/>
  <c r="AJ18" i="5"/>
  <c r="AI18" i="5"/>
  <c r="AN17" i="5"/>
  <c r="AM17" i="5"/>
  <c r="AL17" i="5"/>
  <c r="AK17" i="5"/>
  <c r="AO17" i="5" s="1"/>
  <c r="AJ17" i="5"/>
  <c r="AI17" i="5"/>
  <c r="AN16" i="5"/>
  <c r="AM16" i="5"/>
  <c r="AL16" i="5"/>
  <c r="AK16" i="5"/>
  <c r="AJ16" i="5"/>
  <c r="AI16" i="5"/>
  <c r="AN15" i="5"/>
  <c r="AM15" i="5"/>
  <c r="AL15" i="5"/>
  <c r="AK15" i="5"/>
  <c r="AO15" i="5" s="1"/>
  <c r="AJ15" i="5"/>
  <c r="AI15" i="5"/>
  <c r="AN14" i="5"/>
  <c r="AM14" i="5"/>
  <c r="AL14" i="5"/>
  <c r="AK14" i="5"/>
  <c r="AJ14" i="5"/>
  <c r="AI14" i="5"/>
  <c r="AN13" i="5"/>
  <c r="AM13" i="5"/>
  <c r="AL13" i="5"/>
  <c r="AK13" i="5"/>
  <c r="AO13" i="5" s="1"/>
  <c r="AJ13" i="5"/>
  <c r="AI13" i="5"/>
  <c r="AN12" i="5"/>
  <c r="AM12" i="5"/>
  <c r="AL12" i="5"/>
  <c r="AK12" i="5"/>
  <c r="AJ12" i="5"/>
  <c r="AI12" i="5"/>
  <c r="AN11" i="5"/>
  <c r="AM11" i="5"/>
  <c r="AL11" i="5"/>
  <c r="AK11" i="5"/>
  <c r="AO11" i="5" s="1"/>
  <c r="AJ11" i="5"/>
  <c r="AI11" i="5"/>
  <c r="AN10" i="5"/>
  <c r="AM10" i="5"/>
  <c r="AL10" i="5"/>
  <c r="AK10" i="5"/>
  <c r="AJ10" i="5"/>
  <c r="AI10" i="5"/>
  <c r="AN9" i="5"/>
  <c r="AM9" i="5"/>
  <c r="AL9" i="5"/>
  <c r="AK9" i="5"/>
  <c r="AO9" i="5" s="1"/>
  <c r="AJ9" i="5"/>
  <c r="AI9" i="5"/>
  <c r="AN8" i="5"/>
  <c r="AM8" i="5"/>
  <c r="AL8" i="5"/>
  <c r="AK8" i="5"/>
  <c r="AJ8" i="5"/>
  <c r="AI8" i="5"/>
  <c r="AN7" i="5"/>
  <c r="AM7" i="5"/>
  <c r="AL7" i="5"/>
  <c r="AK7" i="5"/>
  <c r="AO7" i="5" s="1"/>
  <c r="AJ7" i="5"/>
  <c r="AI7" i="5"/>
  <c r="AN6" i="5"/>
  <c r="AM6" i="5"/>
  <c r="AL6" i="5"/>
  <c r="AK6" i="5"/>
  <c r="AJ6" i="5"/>
  <c r="AI6" i="5"/>
  <c r="AN5" i="5"/>
  <c r="AM5" i="5"/>
  <c r="AL5" i="5"/>
  <c r="AK5" i="5"/>
  <c r="AO5" i="5" s="1"/>
  <c r="AJ5" i="5"/>
  <c r="AI5" i="5"/>
  <c r="AN4" i="5"/>
  <c r="AM4" i="5"/>
  <c r="AL4" i="5"/>
  <c r="AK4" i="5"/>
  <c r="AJ4" i="5"/>
  <c r="AI4" i="5"/>
  <c r="AN3" i="5"/>
  <c r="AM3" i="5"/>
  <c r="AL3" i="5"/>
  <c r="AK3" i="5"/>
  <c r="AO3" i="5" s="1"/>
  <c r="AJ3" i="5"/>
  <c r="AI3" i="5"/>
  <c r="AN2" i="5"/>
  <c r="AM2" i="5"/>
  <c r="AL2" i="5"/>
  <c r="AK2" i="5"/>
  <c r="AJ2" i="5"/>
  <c r="AI2" i="5"/>
  <c r="AN21" i="4"/>
  <c r="AM21" i="4"/>
  <c r="AL21" i="4"/>
  <c r="AK21" i="4"/>
  <c r="AO21" i="4" s="1"/>
  <c r="AJ21" i="4"/>
  <c r="AI21" i="4"/>
  <c r="AN20" i="4"/>
  <c r="AM20" i="4"/>
  <c r="AL20" i="4"/>
  <c r="AK20" i="4"/>
  <c r="AO20" i="4" s="1"/>
  <c r="AJ20" i="4"/>
  <c r="AI20" i="4"/>
  <c r="AN19" i="4"/>
  <c r="AM19" i="4"/>
  <c r="AL19" i="4"/>
  <c r="AK19" i="4"/>
  <c r="AO19" i="4" s="1"/>
  <c r="AJ19" i="4"/>
  <c r="AI19" i="4"/>
  <c r="AN18" i="4"/>
  <c r="AM18" i="4"/>
  <c r="AL18" i="4"/>
  <c r="AK18" i="4"/>
  <c r="AO18" i="4" s="1"/>
  <c r="AJ18" i="4"/>
  <c r="AI18" i="4"/>
  <c r="AN17" i="4"/>
  <c r="AM17" i="4"/>
  <c r="AL17" i="4"/>
  <c r="AK17" i="4"/>
  <c r="AO17" i="4" s="1"/>
  <c r="AJ17" i="4"/>
  <c r="AI17" i="4"/>
  <c r="AN16" i="4"/>
  <c r="AM16" i="4"/>
  <c r="AL16" i="4"/>
  <c r="AK16" i="4"/>
  <c r="AO16" i="4" s="1"/>
  <c r="AJ16" i="4"/>
  <c r="AI16" i="4"/>
  <c r="AN15" i="4"/>
  <c r="AM15" i="4"/>
  <c r="AL15" i="4"/>
  <c r="AK15" i="4"/>
  <c r="AO15" i="4" s="1"/>
  <c r="AJ15" i="4"/>
  <c r="AI15" i="4"/>
  <c r="AN14" i="4"/>
  <c r="AM14" i="4"/>
  <c r="AL14" i="4"/>
  <c r="AK14" i="4"/>
  <c r="AO14" i="4" s="1"/>
  <c r="AJ14" i="4"/>
  <c r="AI14" i="4"/>
  <c r="AN13" i="4"/>
  <c r="AM13" i="4"/>
  <c r="AL13" i="4"/>
  <c r="AK13" i="4"/>
  <c r="AO13" i="4" s="1"/>
  <c r="AJ13" i="4"/>
  <c r="AI13" i="4"/>
  <c r="AN12" i="4"/>
  <c r="AM12" i="4"/>
  <c r="AL12" i="4"/>
  <c r="AK12" i="4"/>
  <c r="AO12" i="4" s="1"/>
  <c r="AJ12" i="4"/>
  <c r="AI12" i="4"/>
  <c r="AN11" i="4"/>
  <c r="AM11" i="4"/>
  <c r="AL11" i="4"/>
  <c r="AK11" i="4"/>
  <c r="AO11" i="4" s="1"/>
  <c r="AJ11" i="4"/>
  <c r="AI11" i="4"/>
  <c r="AN10" i="4"/>
  <c r="AM10" i="4"/>
  <c r="AL10" i="4"/>
  <c r="AK10" i="4"/>
  <c r="AJ10" i="4"/>
  <c r="AI10" i="4"/>
  <c r="AN9" i="4"/>
  <c r="AM9" i="4"/>
  <c r="AL9" i="4"/>
  <c r="AK9" i="4"/>
  <c r="AO9" i="4" s="1"/>
  <c r="AJ9" i="4"/>
  <c r="AI9" i="4"/>
  <c r="AN8" i="4"/>
  <c r="AM8" i="4"/>
  <c r="AL8" i="4"/>
  <c r="AK8" i="4"/>
  <c r="AJ8" i="4"/>
  <c r="AI8" i="4"/>
  <c r="AN7" i="4"/>
  <c r="AM7" i="4"/>
  <c r="AL7" i="4"/>
  <c r="AK7" i="4"/>
  <c r="AO7" i="4" s="1"/>
  <c r="AJ7" i="4"/>
  <c r="AI7" i="4"/>
  <c r="AN6" i="4"/>
  <c r="AM6" i="4"/>
  <c r="AL6" i="4"/>
  <c r="AK6" i="4"/>
  <c r="AJ6" i="4"/>
  <c r="AI6" i="4"/>
  <c r="AN5" i="4"/>
  <c r="AM5" i="4"/>
  <c r="AL5" i="4"/>
  <c r="AK5" i="4"/>
  <c r="AO5" i="4" s="1"/>
  <c r="AJ5" i="4"/>
  <c r="AI5" i="4"/>
  <c r="AN4" i="4"/>
  <c r="AM4" i="4"/>
  <c r="AL4" i="4"/>
  <c r="AK4" i="4"/>
  <c r="AJ4" i="4"/>
  <c r="AI4" i="4"/>
  <c r="AN3" i="4"/>
  <c r="AM3" i="4"/>
  <c r="AL3" i="4"/>
  <c r="AK3" i="4"/>
  <c r="AO3" i="4" s="1"/>
  <c r="AJ3" i="4"/>
  <c r="AI3" i="4"/>
  <c r="AN2" i="4"/>
  <c r="AM2" i="4"/>
  <c r="AL2" i="4"/>
  <c r="AK2" i="4"/>
  <c r="AJ2" i="4"/>
  <c r="AI2" i="4"/>
  <c r="AN21" i="3"/>
  <c r="AM21" i="3"/>
  <c r="AL21" i="3"/>
  <c r="AK21" i="3"/>
  <c r="AO21" i="3" s="1"/>
  <c r="AJ21" i="3"/>
  <c r="AI21" i="3"/>
  <c r="AN20" i="3"/>
  <c r="AM20" i="3"/>
  <c r="AL20" i="3"/>
  <c r="AK20" i="3"/>
  <c r="AO20" i="3" s="1"/>
  <c r="AJ20" i="3"/>
  <c r="AI20" i="3"/>
  <c r="AN19" i="3"/>
  <c r="AM19" i="3"/>
  <c r="AL19" i="3"/>
  <c r="AK19" i="3"/>
  <c r="AO19" i="3" s="1"/>
  <c r="AJ19" i="3"/>
  <c r="AI19" i="3"/>
  <c r="AN18" i="3"/>
  <c r="AM18" i="3"/>
  <c r="AL18" i="3"/>
  <c r="AK18" i="3"/>
  <c r="AO18" i="3" s="1"/>
  <c r="AJ18" i="3"/>
  <c r="AI18" i="3"/>
  <c r="AN17" i="3"/>
  <c r="AM17" i="3"/>
  <c r="AL17" i="3"/>
  <c r="AK17" i="3"/>
  <c r="AO17" i="3" s="1"/>
  <c r="AJ17" i="3"/>
  <c r="AI17" i="3"/>
  <c r="AN16" i="3"/>
  <c r="AM16" i="3"/>
  <c r="AL16" i="3"/>
  <c r="AK16" i="3"/>
  <c r="AJ16" i="3"/>
  <c r="AI16" i="3"/>
  <c r="AN15" i="3"/>
  <c r="AM15" i="3"/>
  <c r="AL15" i="3"/>
  <c r="AK15" i="3"/>
  <c r="AO15" i="3" s="1"/>
  <c r="AJ15" i="3"/>
  <c r="AI15" i="3"/>
  <c r="AN14" i="3"/>
  <c r="AM14" i="3"/>
  <c r="AL14" i="3"/>
  <c r="AK14" i="3"/>
  <c r="AJ14" i="3"/>
  <c r="AI14" i="3"/>
  <c r="AN13" i="3"/>
  <c r="AM13" i="3"/>
  <c r="AL13" i="3"/>
  <c r="AK13" i="3"/>
  <c r="AO13" i="3" s="1"/>
  <c r="AJ13" i="3"/>
  <c r="AI13" i="3"/>
  <c r="AN12" i="3"/>
  <c r="AM12" i="3"/>
  <c r="AL12" i="3"/>
  <c r="AK12" i="3"/>
  <c r="AJ12" i="3"/>
  <c r="AI12" i="3"/>
  <c r="AN11" i="3"/>
  <c r="AM11" i="3"/>
  <c r="AL11" i="3"/>
  <c r="AK11" i="3"/>
  <c r="AO11" i="3" s="1"/>
  <c r="AJ11" i="3"/>
  <c r="AI11" i="3"/>
  <c r="AN10" i="3"/>
  <c r="AM10" i="3"/>
  <c r="AL10" i="3"/>
  <c r="AK10" i="3"/>
  <c r="AJ10" i="3"/>
  <c r="AI10" i="3"/>
  <c r="AN9" i="3"/>
  <c r="AM9" i="3"/>
  <c r="AL9" i="3"/>
  <c r="AK9" i="3"/>
  <c r="AO9" i="3" s="1"/>
  <c r="AJ9" i="3"/>
  <c r="AI9" i="3"/>
  <c r="AN8" i="3"/>
  <c r="AM8" i="3"/>
  <c r="AL8" i="3"/>
  <c r="AK8" i="3"/>
  <c r="AJ8" i="3"/>
  <c r="AI8" i="3"/>
  <c r="AN7" i="3"/>
  <c r="AM7" i="3"/>
  <c r="AL7" i="3"/>
  <c r="AK7" i="3"/>
  <c r="AO7" i="3" s="1"/>
  <c r="AJ7" i="3"/>
  <c r="AI7" i="3"/>
  <c r="AN6" i="3"/>
  <c r="AM6" i="3"/>
  <c r="AL6" i="3"/>
  <c r="AK6" i="3"/>
  <c r="AJ6" i="3"/>
  <c r="AI6" i="3"/>
  <c r="AN5" i="3"/>
  <c r="AM5" i="3"/>
  <c r="AL5" i="3"/>
  <c r="AK5" i="3"/>
  <c r="AO5" i="3" s="1"/>
  <c r="AJ5" i="3"/>
  <c r="AI5" i="3"/>
  <c r="AN4" i="3"/>
  <c r="AM4" i="3"/>
  <c r="AL4" i="3"/>
  <c r="AK4" i="3"/>
  <c r="AJ4" i="3"/>
  <c r="AI4" i="3"/>
  <c r="AN3" i="3"/>
  <c r="AM3" i="3"/>
  <c r="AL3" i="3"/>
  <c r="AK3" i="3"/>
  <c r="AO3" i="3" s="1"/>
  <c r="AJ3" i="3"/>
  <c r="AI3" i="3"/>
  <c r="AN2" i="3"/>
  <c r="AM2" i="3"/>
  <c r="AL2" i="3"/>
  <c r="AK2" i="3"/>
  <c r="AJ2" i="3"/>
  <c r="AI2" i="3"/>
  <c r="AN21" i="2"/>
  <c r="AM21" i="2"/>
  <c r="AL21" i="2"/>
  <c r="AK21" i="2"/>
  <c r="AO21" i="2" s="1"/>
  <c r="AJ21" i="2"/>
  <c r="AI21" i="2"/>
  <c r="AN20" i="2"/>
  <c r="AM20" i="2"/>
  <c r="AL20" i="2"/>
  <c r="AK20" i="2"/>
  <c r="AO20" i="2" s="1"/>
  <c r="AJ20" i="2"/>
  <c r="AI20" i="2"/>
  <c r="AN19" i="2"/>
  <c r="AM19" i="2"/>
  <c r="AL19" i="2"/>
  <c r="AK19" i="2"/>
  <c r="AO19" i="2" s="1"/>
  <c r="AJ19" i="2"/>
  <c r="AI19" i="2"/>
  <c r="AN18" i="2"/>
  <c r="AM18" i="2"/>
  <c r="AL18" i="2"/>
  <c r="AK18" i="2"/>
  <c r="AO18" i="2" s="1"/>
  <c r="AJ18" i="2"/>
  <c r="AI18" i="2"/>
  <c r="AN17" i="2"/>
  <c r="AM17" i="2"/>
  <c r="AL17" i="2"/>
  <c r="AK17" i="2"/>
  <c r="AO17" i="2" s="1"/>
  <c r="AJ17" i="2"/>
  <c r="AI17" i="2"/>
  <c r="AN16" i="2"/>
  <c r="AM16" i="2"/>
  <c r="AL16" i="2"/>
  <c r="AK16" i="2"/>
  <c r="AJ16" i="2"/>
  <c r="AI16" i="2"/>
  <c r="AN15" i="2"/>
  <c r="AM15" i="2"/>
  <c r="AL15" i="2"/>
  <c r="AK15" i="2"/>
  <c r="AO15" i="2" s="1"/>
  <c r="AJ15" i="2"/>
  <c r="AI15" i="2"/>
  <c r="AN14" i="2"/>
  <c r="AM14" i="2"/>
  <c r="AL14" i="2"/>
  <c r="AK14" i="2"/>
  <c r="AJ14" i="2"/>
  <c r="AI14" i="2"/>
  <c r="AN13" i="2"/>
  <c r="AM13" i="2"/>
  <c r="AL13" i="2"/>
  <c r="AK13" i="2"/>
  <c r="AO13" i="2" s="1"/>
  <c r="AJ13" i="2"/>
  <c r="AI13" i="2"/>
  <c r="AN12" i="2"/>
  <c r="AM12" i="2"/>
  <c r="AL12" i="2"/>
  <c r="AK12" i="2"/>
  <c r="AJ12" i="2"/>
  <c r="AI12" i="2"/>
  <c r="AN11" i="2"/>
  <c r="AM11" i="2"/>
  <c r="AL11" i="2"/>
  <c r="AK11" i="2"/>
  <c r="AO11" i="2" s="1"/>
  <c r="AJ11" i="2"/>
  <c r="AI11" i="2"/>
  <c r="AN10" i="2"/>
  <c r="AM10" i="2"/>
  <c r="AL10" i="2"/>
  <c r="AK10" i="2"/>
  <c r="AJ10" i="2"/>
  <c r="AI10" i="2"/>
  <c r="AN9" i="2"/>
  <c r="AM9" i="2"/>
  <c r="AL9" i="2"/>
  <c r="AK9" i="2"/>
  <c r="AO9" i="2" s="1"/>
  <c r="AJ9" i="2"/>
  <c r="AI9" i="2"/>
  <c r="AN8" i="2"/>
  <c r="AM8" i="2"/>
  <c r="AL8" i="2"/>
  <c r="AK8" i="2"/>
  <c r="AJ8" i="2"/>
  <c r="AI8" i="2"/>
  <c r="AN7" i="2"/>
  <c r="AM7" i="2"/>
  <c r="AL7" i="2"/>
  <c r="AK7" i="2"/>
  <c r="AO7" i="2" s="1"/>
  <c r="AJ7" i="2"/>
  <c r="AI7" i="2"/>
  <c r="AN6" i="2"/>
  <c r="AM6" i="2"/>
  <c r="AL6" i="2"/>
  <c r="AK6" i="2"/>
  <c r="AJ6" i="2"/>
  <c r="AI6" i="2"/>
  <c r="AN5" i="2"/>
  <c r="AM5" i="2"/>
  <c r="AL5" i="2"/>
  <c r="AK5" i="2"/>
  <c r="AO5" i="2" s="1"/>
  <c r="AJ5" i="2"/>
  <c r="AI5" i="2"/>
  <c r="AN4" i="2"/>
  <c r="AM4" i="2"/>
  <c r="AL4" i="2"/>
  <c r="AK4" i="2"/>
  <c r="AJ4" i="2"/>
  <c r="AI4" i="2"/>
  <c r="AN3" i="2"/>
  <c r="AM3" i="2"/>
  <c r="AL3" i="2"/>
  <c r="AK3" i="2"/>
  <c r="AO3" i="2" s="1"/>
  <c r="AJ3" i="2"/>
  <c r="AI3" i="2"/>
  <c r="AN2" i="2"/>
  <c r="AM2" i="2"/>
  <c r="AL2" i="2"/>
  <c r="AK2" i="2"/>
  <c r="AJ2" i="2"/>
  <c r="AI2" i="2"/>
  <c r="AN21" i="1"/>
  <c r="AM21" i="1"/>
  <c r="AL21" i="1"/>
  <c r="AK21" i="1"/>
  <c r="AJ21" i="1"/>
  <c r="AI21" i="1"/>
  <c r="AN20" i="1"/>
  <c r="AM20" i="1"/>
  <c r="AL20" i="1"/>
  <c r="AK20" i="1"/>
  <c r="AJ20" i="1"/>
  <c r="AI20" i="1"/>
  <c r="AN19" i="1"/>
  <c r="AM19" i="1"/>
  <c r="AL19" i="1"/>
  <c r="AK19" i="1"/>
  <c r="AJ19" i="1"/>
  <c r="AI19" i="1"/>
  <c r="AN18" i="1"/>
  <c r="AM18" i="1"/>
  <c r="AL18" i="1"/>
  <c r="AK18" i="1"/>
  <c r="AJ18" i="1"/>
  <c r="AI18" i="1"/>
  <c r="AN17" i="1"/>
  <c r="AM17" i="1"/>
  <c r="AL17" i="1"/>
  <c r="AK17" i="1"/>
  <c r="AJ17" i="1"/>
  <c r="AI17" i="1"/>
  <c r="AN16" i="1"/>
  <c r="AM16" i="1"/>
  <c r="AL16" i="1"/>
  <c r="AK16" i="1"/>
  <c r="AJ16" i="1"/>
  <c r="AI16" i="1"/>
  <c r="AN15" i="1"/>
  <c r="AM15" i="1"/>
  <c r="AL15" i="1"/>
  <c r="AK15" i="1"/>
  <c r="AJ15" i="1"/>
  <c r="AI15" i="1"/>
  <c r="AN14" i="1"/>
  <c r="AM14" i="1"/>
  <c r="AL14" i="1"/>
  <c r="AK14" i="1"/>
  <c r="AJ14" i="1"/>
  <c r="AI14" i="1"/>
  <c r="AN13" i="1"/>
  <c r="AM13" i="1"/>
  <c r="AL13" i="1"/>
  <c r="AK13" i="1"/>
  <c r="AJ13" i="1"/>
  <c r="AI13" i="1"/>
  <c r="AN12" i="1"/>
  <c r="AM12" i="1"/>
  <c r="AL12" i="1"/>
  <c r="AK12" i="1"/>
  <c r="AJ12" i="1"/>
  <c r="AI12" i="1"/>
  <c r="AN11" i="1"/>
  <c r="AM11" i="1"/>
  <c r="AL11" i="1"/>
  <c r="AK11" i="1"/>
  <c r="AJ11" i="1"/>
  <c r="AI11" i="1"/>
  <c r="AN10" i="1"/>
  <c r="AM10" i="1"/>
  <c r="AL10" i="1"/>
  <c r="AK10" i="1"/>
  <c r="AJ10" i="1"/>
  <c r="AI10" i="1"/>
  <c r="AN9" i="1"/>
  <c r="AM9" i="1"/>
  <c r="AL9" i="1"/>
  <c r="AK9" i="1"/>
  <c r="AJ9" i="1"/>
  <c r="AI9" i="1"/>
  <c r="AN8" i="1"/>
  <c r="AM8" i="1"/>
  <c r="AL8" i="1"/>
  <c r="AK8" i="1"/>
  <c r="AJ8" i="1"/>
  <c r="AI8" i="1"/>
  <c r="AN7" i="1"/>
  <c r="AM7" i="1"/>
  <c r="AL7" i="1"/>
  <c r="AK7" i="1"/>
  <c r="AJ7" i="1"/>
  <c r="AI7" i="1"/>
  <c r="AN6" i="1"/>
  <c r="AM6" i="1"/>
  <c r="AL6" i="1"/>
  <c r="AK6" i="1"/>
  <c r="AJ6" i="1"/>
  <c r="AI6" i="1"/>
  <c r="AN5" i="1"/>
  <c r="AM5" i="1"/>
  <c r="AL5" i="1"/>
  <c r="AK5" i="1"/>
  <c r="AJ5" i="1"/>
  <c r="AI5" i="1"/>
  <c r="AN4" i="1"/>
  <c r="AM4" i="1"/>
  <c r="AL4" i="1"/>
  <c r="AK4" i="1"/>
  <c r="AJ4" i="1"/>
  <c r="AI4" i="1"/>
  <c r="AN3" i="1"/>
  <c r="AM3" i="1"/>
  <c r="AL3" i="1"/>
  <c r="AK3" i="1"/>
  <c r="AJ3" i="1"/>
  <c r="AI3" i="1"/>
  <c r="AN2" i="1"/>
  <c r="AM2" i="1"/>
  <c r="AL2" i="1"/>
  <c r="AK2" i="1"/>
  <c r="AJ2" i="1"/>
  <c r="AI2" i="1"/>
  <c r="AO13" i="1" l="1"/>
  <c r="AO21" i="1"/>
  <c r="AO15" i="1"/>
  <c r="AO7" i="1"/>
  <c r="AO3" i="1"/>
  <c r="AO11" i="1"/>
  <c r="AO19" i="1"/>
  <c r="AO9" i="1"/>
  <c r="AO17" i="1"/>
  <c r="AO5" i="1"/>
  <c r="AO20" i="1"/>
  <c r="AO2" i="1"/>
  <c r="AO4" i="1"/>
  <c r="AO6" i="1"/>
  <c r="AO8" i="1"/>
  <c r="AO10" i="1"/>
  <c r="AO12" i="1"/>
  <c r="AO14" i="1"/>
  <c r="AO16" i="1"/>
  <c r="AO18" i="1"/>
  <c r="AO2" i="2"/>
  <c r="AO4" i="2"/>
  <c r="AO6" i="2"/>
  <c r="AO8" i="2"/>
  <c r="AO10" i="2"/>
  <c r="AO12" i="2"/>
  <c r="AO14" i="2"/>
  <c r="AO16" i="2"/>
  <c r="AO2" i="3"/>
  <c r="AO4" i="3"/>
  <c r="AO6" i="3"/>
  <c r="AO8" i="3"/>
  <c r="AO10" i="3"/>
  <c r="AO12" i="3"/>
  <c r="AO14" i="3"/>
  <c r="AO16" i="3"/>
  <c r="AO2" i="4"/>
  <c r="AO4" i="4"/>
  <c r="AO6" i="4"/>
  <c r="AO8" i="4"/>
  <c r="AO10" i="4"/>
  <c r="AO2" i="5"/>
  <c r="AO4" i="5"/>
  <c r="AO6" i="5"/>
  <c r="AO8" i="5"/>
  <c r="AO10" i="5"/>
  <c r="AO12" i="5"/>
  <c r="AO14" i="5"/>
  <c r="AO16" i="5"/>
  <c r="AO18" i="5"/>
  <c r="N38" i="5" l="1"/>
  <c r="N37" i="5"/>
  <c r="N36" i="5"/>
  <c r="N35" i="5"/>
  <c r="N34" i="5"/>
  <c r="AQ33" i="5"/>
  <c r="N33" i="5"/>
  <c r="AQ32" i="5"/>
  <c r="N32" i="5"/>
  <c r="AQ31" i="5"/>
  <c r="N31" i="5"/>
  <c r="AQ30" i="5"/>
  <c r="N30" i="5"/>
  <c r="AQ29" i="5"/>
  <c r="N29" i="5"/>
  <c r="AQ28" i="5"/>
  <c r="N28" i="5"/>
  <c r="AQ27" i="5"/>
  <c r="N27" i="5"/>
  <c r="AQ26" i="5"/>
  <c r="N26" i="5"/>
  <c r="AQ25" i="5"/>
  <c r="N25" i="5"/>
  <c r="AQ24" i="5"/>
  <c r="N24" i="5"/>
  <c r="N23" i="5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38" i="3"/>
  <c r="N37" i="3"/>
  <c r="N36" i="3"/>
  <c r="N35" i="3"/>
  <c r="N34" i="3"/>
  <c r="AQ33" i="3"/>
  <c r="N33" i="3"/>
  <c r="AQ32" i="3"/>
  <c r="N32" i="3"/>
  <c r="AQ31" i="3"/>
  <c r="N31" i="3"/>
  <c r="AQ30" i="3"/>
  <c r="N30" i="3"/>
  <c r="AQ29" i="3"/>
  <c r="N29" i="3"/>
  <c r="AQ28" i="3"/>
  <c r="N28" i="3"/>
  <c r="AQ27" i="3"/>
  <c r="N27" i="3"/>
  <c r="AQ26" i="3"/>
  <c r="N26" i="3"/>
  <c r="AQ25" i="3"/>
  <c r="N25" i="3"/>
  <c r="AQ24" i="3"/>
  <c r="N24" i="3"/>
  <c r="N23" i="3"/>
  <c r="N38" i="2"/>
  <c r="N37" i="2"/>
  <c r="N36" i="2"/>
  <c r="N35" i="2"/>
  <c r="N34" i="2"/>
  <c r="AQ33" i="2"/>
  <c r="N33" i="2"/>
  <c r="AQ32" i="2"/>
  <c r="N32" i="2"/>
  <c r="AQ31" i="2"/>
  <c r="N31" i="2"/>
  <c r="AQ30" i="2"/>
  <c r="N30" i="2"/>
  <c r="AQ29" i="2"/>
  <c r="N29" i="2"/>
  <c r="AQ28" i="2"/>
  <c r="N28" i="2"/>
  <c r="AQ27" i="2"/>
  <c r="N27" i="2"/>
  <c r="AQ26" i="2"/>
  <c r="N26" i="2"/>
  <c r="AQ25" i="2"/>
  <c r="N25" i="2"/>
  <c r="AQ24" i="2"/>
  <c r="N24" i="2"/>
  <c r="N23" i="2"/>
  <c r="AQ33" i="1"/>
  <c r="AQ32" i="1"/>
  <c r="AQ31" i="1"/>
  <c r="AQ30" i="1"/>
  <c r="AQ29" i="1"/>
  <c r="AQ28" i="1"/>
  <c r="AQ27" i="1"/>
  <c r="AQ26" i="1"/>
  <c r="AQ25" i="1"/>
  <c r="AQ24" i="1"/>
  <c r="N38" i="1"/>
  <c r="N37" i="1"/>
  <c r="N36" i="1"/>
  <c r="N35" i="1"/>
  <c r="N32" i="1"/>
  <c r="N34" i="1"/>
  <c r="N33" i="1"/>
  <c r="N31" i="1"/>
  <c r="N30" i="1"/>
  <c r="N29" i="1"/>
  <c r="N28" i="1"/>
  <c r="N27" i="1"/>
  <c r="N26" i="1"/>
  <c r="N25" i="1"/>
  <c r="N24" i="1"/>
  <c r="N23" i="1"/>
  <c r="AR33" i="1" l="1"/>
  <c r="AR29" i="1"/>
  <c r="AQ34" i="3"/>
  <c r="AQ34" i="5"/>
  <c r="AQ34" i="2"/>
  <c r="AQ34" i="1"/>
  <c r="AQ33" i="4" l="1"/>
  <c r="AQ31" i="4"/>
  <c r="AQ27" i="4"/>
  <c r="AQ29" i="4"/>
  <c r="AQ32" i="4"/>
  <c r="AQ30" i="4"/>
  <c r="AQ28" i="4"/>
  <c r="AQ26" i="4"/>
  <c r="AQ24" i="4"/>
  <c r="AQ25" i="4"/>
  <c r="AQ34" i="4" l="1"/>
</calcChain>
</file>

<file path=xl/sharedStrings.xml><?xml version="1.0" encoding="utf-8"?>
<sst xmlns="http://schemas.openxmlformats.org/spreadsheetml/2006/main" count="490" uniqueCount="97">
  <si>
    <t>馬番</t>
  </si>
  <si>
    <t>馬名</t>
  </si>
  <si>
    <t>性齢</t>
  </si>
  <si>
    <t>騎手名</t>
  </si>
  <si>
    <t>前走_レース名</t>
  </si>
  <si>
    <t>前走_場所</t>
  </si>
  <si>
    <t>前走_コース</t>
  </si>
  <si>
    <t>前走_着順</t>
  </si>
  <si>
    <t>前走_着差</t>
  </si>
  <si>
    <t>前走_通過順</t>
  </si>
  <si>
    <t>前走_３F</t>
  </si>
  <si>
    <t>2走_レース名</t>
  </si>
  <si>
    <t>2走_場所</t>
  </si>
  <si>
    <t>2走_コース</t>
  </si>
  <si>
    <t>2走_着順</t>
  </si>
  <si>
    <t>2走_着差</t>
  </si>
  <si>
    <t>2走_通過順</t>
  </si>
  <si>
    <t>2走_３F</t>
  </si>
  <si>
    <t>3走_レース名</t>
  </si>
  <si>
    <t>3走_場所</t>
  </si>
  <si>
    <t>3走_コース</t>
  </si>
  <si>
    <t>3走_着順</t>
  </si>
  <si>
    <t>3走_着差</t>
  </si>
  <si>
    <t>3走_通過順</t>
  </si>
  <si>
    <t>3走_３F</t>
  </si>
  <si>
    <t>4走_レース名</t>
  </si>
  <si>
    <t>4走_場所</t>
  </si>
  <si>
    <t>4走_コース</t>
  </si>
  <si>
    <t>4走_着順</t>
  </si>
  <si>
    <t>4走_着差</t>
  </si>
  <si>
    <t>4走_通過順</t>
  </si>
  <si>
    <t>4走_３F</t>
  </si>
  <si>
    <t>オッズ</t>
  </si>
  <si>
    <t>最速３F</t>
  </si>
  <si>
    <t>着差合計</t>
  </si>
  <si>
    <t>ステップ１</t>
    <phoneticPr fontId="2"/>
  </si>
  <si>
    <t>人気上位３頭をチェックして1頭選ぶ</t>
    <rPh sb="0" eb="2">
      <t>ニンキ</t>
    </rPh>
    <rPh sb="2" eb="4">
      <t>ジョウイ</t>
    </rPh>
    <rPh sb="5" eb="6">
      <t>トウ</t>
    </rPh>
    <rPh sb="14" eb="15">
      <t>トウ</t>
    </rPh>
    <rPh sb="15" eb="16">
      <t>エラ</t>
    </rPh>
    <phoneticPr fontId="2"/>
  </si>
  <si>
    <t>ステップ２</t>
    <phoneticPr fontId="2"/>
  </si>
  <si>
    <t>人気下位3頭をチェックして穴馬がいないか確認</t>
    <rPh sb="0" eb="2">
      <t>ニンキ</t>
    </rPh>
    <rPh sb="2" eb="4">
      <t>カイ</t>
    </rPh>
    <rPh sb="5" eb="6">
      <t>トウ</t>
    </rPh>
    <rPh sb="13" eb="15">
      <t>アナウマ</t>
    </rPh>
    <rPh sb="20" eb="22">
      <t>カクニン</t>
    </rPh>
    <phoneticPr fontId="2"/>
  </si>
  <si>
    <t>ステップ３</t>
    <phoneticPr fontId="2"/>
  </si>
  <si>
    <t>４～６番人気と11～13人気の馬をチェックして穴馬になりそうな2頭を選ぶ</t>
    <rPh sb="3" eb="4">
      <t>バン</t>
    </rPh>
    <rPh sb="4" eb="6">
      <t>ニンキ</t>
    </rPh>
    <rPh sb="12" eb="14">
      <t>ニンキ</t>
    </rPh>
    <rPh sb="15" eb="16">
      <t>ウマ</t>
    </rPh>
    <rPh sb="23" eb="25">
      <t>アナウマ</t>
    </rPh>
    <rPh sb="32" eb="33">
      <t>トウ</t>
    </rPh>
    <rPh sb="34" eb="35">
      <t>エラ</t>
    </rPh>
    <phoneticPr fontId="2"/>
  </si>
  <si>
    <t>ステップ４</t>
    <phoneticPr fontId="2"/>
  </si>
  <si>
    <t>７～１０人気をチェックして穴馬になりそうな２頭選ぶ</t>
    <rPh sb="4" eb="6">
      <t>ニンキ</t>
    </rPh>
    <rPh sb="13" eb="15">
      <t>アナウマ</t>
    </rPh>
    <rPh sb="22" eb="24">
      <t>トウエラ</t>
    </rPh>
    <phoneticPr fontId="2"/>
  </si>
  <si>
    <t>ステップ５</t>
    <phoneticPr fontId="2"/>
  </si>
  <si>
    <t>ステップ１で選んだ馬を軸にしてステップ２～4で選んだ穴馬４～５頭と組み合わせて購入する</t>
    <rPh sb="6" eb="7">
      <t>エラ</t>
    </rPh>
    <rPh sb="9" eb="10">
      <t>ウマ</t>
    </rPh>
    <rPh sb="11" eb="12">
      <t>ジク</t>
    </rPh>
    <rPh sb="23" eb="24">
      <t>エラ</t>
    </rPh>
    <rPh sb="26" eb="28">
      <t>アナウマ</t>
    </rPh>
    <rPh sb="31" eb="32">
      <t>トウ</t>
    </rPh>
    <rPh sb="33" eb="34">
      <t>ク</t>
    </rPh>
    <rPh sb="35" eb="36">
      <t>ア</t>
    </rPh>
    <rPh sb="39" eb="41">
      <t>コウニュウ</t>
    </rPh>
    <phoneticPr fontId="2"/>
  </si>
  <si>
    <t>WIN　1</t>
    <phoneticPr fontId="2"/>
  </si>
  <si>
    <t>人気</t>
    <rPh sb="0" eb="2">
      <t>ニンキ</t>
    </rPh>
    <phoneticPr fontId="2"/>
  </si>
  <si>
    <t>馬番</t>
    <rPh sb="0" eb="1">
      <t>ウマ</t>
    </rPh>
    <rPh sb="1" eb="2">
      <t>バン</t>
    </rPh>
    <phoneticPr fontId="2"/>
  </si>
  <si>
    <t>ハンデ</t>
    <phoneticPr fontId="2"/>
  </si>
  <si>
    <t>結果</t>
    <rPh sb="0" eb="2">
      <t>ケッカ</t>
    </rPh>
    <phoneticPr fontId="2"/>
  </si>
  <si>
    <t>逃げ</t>
    <rPh sb="0" eb="1">
      <t>ニ</t>
    </rPh>
    <phoneticPr fontId="2"/>
  </si>
  <si>
    <t>逃げ先行</t>
    <rPh sb="0" eb="1">
      <t>ニ</t>
    </rPh>
    <rPh sb="2" eb="4">
      <t>センコウ</t>
    </rPh>
    <phoneticPr fontId="2"/>
  </si>
  <si>
    <t>逃げ追込み</t>
    <rPh sb="0" eb="1">
      <t>ニ</t>
    </rPh>
    <rPh sb="2" eb="4">
      <t>オイコ</t>
    </rPh>
    <phoneticPr fontId="2"/>
  </si>
  <si>
    <t>先行</t>
    <rPh sb="0" eb="2">
      <t>センコウ</t>
    </rPh>
    <phoneticPr fontId="2"/>
  </si>
  <si>
    <t>先行差し</t>
    <rPh sb="0" eb="2">
      <t>センコウ</t>
    </rPh>
    <rPh sb="2" eb="3">
      <t>サ</t>
    </rPh>
    <phoneticPr fontId="2"/>
  </si>
  <si>
    <t>先行追込み</t>
    <rPh sb="0" eb="2">
      <t>センコウ</t>
    </rPh>
    <rPh sb="2" eb="4">
      <t>オイコ</t>
    </rPh>
    <phoneticPr fontId="2"/>
  </si>
  <si>
    <t>差し</t>
    <rPh sb="0" eb="1">
      <t>サ</t>
    </rPh>
    <phoneticPr fontId="2"/>
  </si>
  <si>
    <t>差し追込み</t>
    <rPh sb="0" eb="1">
      <t>サ</t>
    </rPh>
    <rPh sb="2" eb="4">
      <t>オイコ</t>
    </rPh>
    <phoneticPr fontId="2"/>
  </si>
  <si>
    <t>追込み</t>
    <rPh sb="0" eb="2">
      <t>オイコ</t>
    </rPh>
    <phoneticPr fontId="2"/>
  </si>
  <si>
    <t>追込み差し</t>
    <rPh sb="0" eb="2">
      <t>オイコ</t>
    </rPh>
    <rPh sb="3" eb="4">
      <t>サ</t>
    </rPh>
    <phoneticPr fontId="2"/>
  </si>
  <si>
    <t>合　計</t>
    <rPh sb="0" eb="1">
      <t>ゴウ</t>
    </rPh>
    <rPh sb="2" eb="3">
      <t>ケイ</t>
    </rPh>
    <phoneticPr fontId="2"/>
  </si>
  <si>
    <t>展開予想</t>
    <rPh sb="0" eb="2">
      <t>テンカイ</t>
    </rPh>
    <rPh sb="2" eb="4">
      <t>ヨソウ</t>
    </rPh>
    <phoneticPr fontId="2"/>
  </si>
  <si>
    <t>項目</t>
    <rPh sb="0" eb="2">
      <t>コウモク</t>
    </rPh>
    <phoneticPr fontId="2"/>
  </si>
  <si>
    <t>補足</t>
    <rPh sb="0" eb="2">
      <t>ホソク</t>
    </rPh>
    <phoneticPr fontId="2"/>
  </si>
  <si>
    <t>チェック</t>
    <phoneticPr fontId="2"/>
  </si>
  <si>
    <t>レースの展開を予想したか？</t>
    <rPh sb="4" eb="6">
      <t>テンカイ</t>
    </rPh>
    <rPh sb="7" eb="9">
      <t>ヨソウ</t>
    </rPh>
    <phoneticPr fontId="2"/>
  </si>
  <si>
    <t>逃げ・先行・差し・追込みのバランス</t>
    <rPh sb="0" eb="1">
      <t>ニ</t>
    </rPh>
    <rPh sb="3" eb="5">
      <t>センコウ</t>
    </rPh>
    <rPh sb="6" eb="7">
      <t>サ</t>
    </rPh>
    <rPh sb="9" eb="11">
      <t>オイコ</t>
    </rPh>
    <phoneticPr fontId="2"/>
  </si>
  <si>
    <t>1番人気の脚質は予想展開と合っているか？</t>
    <rPh sb="1" eb="4">
      <t>バンニンキ</t>
    </rPh>
    <rPh sb="5" eb="7">
      <t>キャクシツ</t>
    </rPh>
    <rPh sb="8" eb="12">
      <t>ヨソウテンカイ</t>
    </rPh>
    <rPh sb="13" eb="14">
      <t>ア</t>
    </rPh>
    <phoneticPr fontId="2"/>
  </si>
  <si>
    <t>先行・逃げはスロー展開が有利、差し追込みはハイペース展開が有利</t>
    <rPh sb="0" eb="2">
      <t>センコウ</t>
    </rPh>
    <rPh sb="3" eb="4">
      <t>ニ</t>
    </rPh>
    <rPh sb="9" eb="11">
      <t>テンカイ</t>
    </rPh>
    <rPh sb="12" eb="14">
      <t>ユウリ</t>
    </rPh>
    <rPh sb="15" eb="16">
      <t>サ</t>
    </rPh>
    <rPh sb="17" eb="19">
      <t>オイコ</t>
    </rPh>
    <rPh sb="26" eb="28">
      <t>テンカイ</t>
    </rPh>
    <rPh sb="29" eb="31">
      <t>ユウリ</t>
    </rPh>
    <phoneticPr fontId="2"/>
  </si>
  <si>
    <t>コースや距離に不安はないか？</t>
    <rPh sb="4" eb="6">
      <t>キョリ</t>
    </rPh>
    <rPh sb="7" eb="9">
      <t>フアン</t>
    </rPh>
    <phoneticPr fontId="2"/>
  </si>
  <si>
    <t>初めての競馬場・前走から距離は大きく変化したか？</t>
    <rPh sb="0" eb="1">
      <t>ハジ</t>
    </rPh>
    <rPh sb="4" eb="7">
      <t>ケイバジョウ</t>
    </rPh>
    <rPh sb="8" eb="10">
      <t>ゼンソウ</t>
    </rPh>
    <rPh sb="12" eb="14">
      <t>キョリ</t>
    </rPh>
    <rPh sb="15" eb="16">
      <t>オオ</t>
    </rPh>
    <rPh sb="18" eb="20">
      <t>ヘンカ</t>
    </rPh>
    <phoneticPr fontId="2"/>
  </si>
  <si>
    <t>その日の馬場傾向は確認したか？</t>
    <rPh sb="2" eb="3">
      <t>ヒ</t>
    </rPh>
    <rPh sb="4" eb="6">
      <t>ババ</t>
    </rPh>
    <rPh sb="6" eb="8">
      <t>ケイコウ</t>
    </rPh>
    <rPh sb="9" eb="11">
      <t>カクニン</t>
    </rPh>
    <phoneticPr fontId="2"/>
  </si>
  <si>
    <t>重馬場は要注意</t>
    <rPh sb="0" eb="3">
      <t>オモババ</t>
    </rPh>
    <rPh sb="4" eb="7">
      <t>ヨウチュウイ</t>
    </rPh>
    <phoneticPr fontId="2"/>
  </si>
  <si>
    <t>騎手の不安材料はないか？</t>
    <rPh sb="0" eb="2">
      <t>キシュ</t>
    </rPh>
    <rPh sb="3" eb="7">
      <t>フアンザイリョウ</t>
    </rPh>
    <phoneticPr fontId="2"/>
  </si>
  <si>
    <t>初騎乗・久しぶりの騎乗</t>
    <rPh sb="0" eb="3">
      <t>ハツキジョウ</t>
    </rPh>
    <rPh sb="4" eb="5">
      <t>ヒサ</t>
    </rPh>
    <rPh sb="9" eb="11">
      <t>キジョウ</t>
    </rPh>
    <phoneticPr fontId="2"/>
  </si>
  <si>
    <t>危険サインはいくつ当てはまるか？</t>
    <rPh sb="0" eb="2">
      <t>キケン</t>
    </rPh>
    <rPh sb="9" eb="10">
      <t>ア</t>
    </rPh>
    <phoneticPr fontId="2"/>
  </si>
  <si>
    <t>2、3、4、5のトータル数</t>
    <rPh sb="12" eb="13">
      <t>スウ</t>
    </rPh>
    <phoneticPr fontId="2"/>
  </si>
  <si>
    <t>予想展開に恵まれそうな馬はいるか？</t>
    <rPh sb="0" eb="4">
      <t>ヨソウテンカイ</t>
    </rPh>
    <rPh sb="5" eb="6">
      <t>メグ</t>
    </rPh>
    <rPh sb="11" eb="12">
      <t>ウマ</t>
    </rPh>
    <phoneticPr fontId="2"/>
  </si>
  <si>
    <t>人気薄でも条件が合えば〇</t>
    <rPh sb="0" eb="3">
      <t>ニンキウス</t>
    </rPh>
    <rPh sb="5" eb="7">
      <t>ジョウケン</t>
    </rPh>
    <rPh sb="8" eb="9">
      <t>ア</t>
    </rPh>
    <phoneticPr fontId="2"/>
  </si>
  <si>
    <t>資金は「人気のある馬」を熱く買うのではなく「展開にあった馬」にも分散できているか？</t>
    <rPh sb="0" eb="2">
      <t>シキン</t>
    </rPh>
    <rPh sb="4" eb="6">
      <t>ニンキ</t>
    </rPh>
    <rPh sb="9" eb="10">
      <t>ウマ</t>
    </rPh>
    <rPh sb="12" eb="13">
      <t>アツ</t>
    </rPh>
    <rPh sb="14" eb="15">
      <t>カ</t>
    </rPh>
    <rPh sb="22" eb="24">
      <t>テンカイ</t>
    </rPh>
    <rPh sb="28" eb="29">
      <t>ウマ</t>
    </rPh>
    <rPh sb="32" eb="34">
      <t>ブンサン</t>
    </rPh>
    <phoneticPr fontId="2"/>
  </si>
  <si>
    <t>リスクの低減</t>
    <rPh sb="4" eb="6">
      <t>テイゲン</t>
    </rPh>
    <phoneticPr fontId="2"/>
  </si>
  <si>
    <t>WIN　２</t>
    <phoneticPr fontId="2"/>
  </si>
  <si>
    <t>WIN　３</t>
    <phoneticPr fontId="2"/>
  </si>
  <si>
    <t>WIN　４</t>
    <phoneticPr fontId="2"/>
  </si>
  <si>
    <t>WIN　５</t>
    <phoneticPr fontId="2"/>
  </si>
  <si>
    <t>予想</t>
  </si>
  <si>
    <t>1着</t>
  </si>
  <si>
    <t>2着</t>
  </si>
  <si>
    <t>3着</t>
  </si>
  <si>
    <t>4着</t>
  </si>
  <si>
    <t>合計</t>
  </si>
  <si>
    <t>脚質</t>
  </si>
  <si>
    <t>馬体重</t>
  </si>
  <si>
    <t>騎手乗替</t>
  </si>
  <si>
    <t>3着内率</t>
  </si>
  <si>
    <t>タイム</t>
  </si>
  <si>
    <t>馬場経験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</si>
</sst>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9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4"/>
      <color theme="1"/>
      <name val="ＭＳ Ｐゴシック"/>
      <family val="2"/>
      <scheme val="minor"/>
    </font>
    <font>
      <sz val="1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16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sz val="16"/>
      <color rgb="FF0070C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3" fillId="0" borderId="2" xfId="0" applyFont="1" applyBorder="1"/>
    <xf numFmtId="0" fontId="0" fillId="0" borderId="6" xfId="0" applyBorder="1" applyAlignment="1">
      <alignment shrinkToFit="1"/>
    </xf>
    <xf numFmtId="0" fontId="0" fillId="0" borderId="7" xfId="0" applyBorder="1" applyAlignment="1">
      <alignment shrinkToFit="1"/>
    </xf>
    <xf numFmtId="0" fontId="0" fillId="0" borderId="8" xfId="0" applyBorder="1" applyAlignment="1">
      <alignment shrinkToFit="1"/>
    </xf>
    <xf numFmtId="0" fontId="0" fillId="0" borderId="9" xfId="0" applyBorder="1" applyAlignment="1">
      <alignment horizontal="center" shrinkToFit="1"/>
    </xf>
    <xf numFmtId="0" fontId="1" fillId="0" borderId="9" xfId="0" applyFont="1" applyBorder="1" applyAlignment="1">
      <alignment horizontal="center" vertical="top" shrinkToFit="1"/>
    </xf>
    <xf numFmtId="0" fontId="4" fillId="0" borderId="10" xfId="0" applyFont="1" applyBorder="1" applyAlignment="1">
      <alignment shrinkToFit="1"/>
    </xf>
    <xf numFmtId="176" fontId="4" fillId="0" borderId="11" xfId="0" applyNumberFormat="1" applyFont="1" applyBorder="1" applyAlignment="1">
      <alignment shrinkToFit="1"/>
    </xf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4" fillId="0" borderId="12" xfId="0" applyFont="1" applyBorder="1" applyAlignment="1">
      <alignment horizontal="center"/>
    </xf>
    <xf numFmtId="0" fontId="0" fillId="0" borderId="12" xfId="0" applyBorder="1" applyAlignment="1">
      <alignment shrinkToFit="1"/>
    </xf>
    <xf numFmtId="0" fontId="0" fillId="0" borderId="5" xfId="0" applyBorder="1" applyAlignment="1">
      <alignment shrinkToFit="1"/>
    </xf>
    <xf numFmtId="0" fontId="0" fillId="0" borderId="2" xfId="0" applyBorder="1" applyAlignment="1">
      <alignment shrinkToFit="1"/>
    </xf>
    <xf numFmtId="0" fontId="7" fillId="0" borderId="13" xfId="0" applyFont="1" applyBorder="1"/>
    <xf numFmtId="0" fontId="8" fillId="0" borderId="13" xfId="0" applyFont="1" applyBorder="1"/>
    <xf numFmtId="0" fontId="9" fillId="0" borderId="13" xfId="0" applyFont="1" applyBorder="1"/>
    <xf numFmtId="0" fontId="6" fillId="0" borderId="13" xfId="0" applyFont="1" applyBorder="1" applyAlignment="1">
      <alignment horizontal="center"/>
    </xf>
    <xf numFmtId="0" fontId="9" fillId="2" borderId="1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9" fillId="3" borderId="9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9" fillId="4" borderId="17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0" fontId="9" fillId="5" borderId="2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0" fillId="0" borderId="23" xfId="0" applyBorder="1"/>
    <xf numFmtId="0" fontId="0" fillId="0" borderId="0" xfId="0" applyAlignment="1">
      <alignment shrinkToFit="1"/>
    </xf>
    <xf numFmtId="0" fontId="10" fillId="0" borderId="9" xfId="0" applyFont="1" applyBorder="1" applyAlignment="1">
      <alignment horizontal="center" vertical="top" shrinkToFit="1"/>
    </xf>
    <xf numFmtId="0" fontId="10" fillId="0" borderId="24" xfId="0" applyFont="1" applyBorder="1" applyAlignment="1">
      <alignment horizontal="center" vertical="top" shrinkToFit="1"/>
    </xf>
    <xf numFmtId="0" fontId="11" fillId="0" borderId="12" xfId="0" applyFont="1" applyBorder="1"/>
    <xf numFmtId="0" fontId="11" fillId="0" borderId="12" xfId="0" applyFont="1" applyBorder="1" applyAlignment="1">
      <alignment shrinkToFit="1"/>
    </xf>
    <xf numFmtId="0" fontId="11" fillId="0" borderId="12" xfId="0" applyFont="1" applyBorder="1" applyAlignment="1">
      <alignment horizontal="center" shrinkToFit="1"/>
    </xf>
    <xf numFmtId="0" fontId="12" fillId="0" borderId="9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left" vertical="center" shrinkToFit="1"/>
    </xf>
    <xf numFmtId="0" fontId="0" fillId="0" borderId="0" xfId="0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6" fillId="0" borderId="6" xfId="0" applyFont="1" applyBorder="1"/>
    <xf numFmtId="0" fontId="14" fillId="0" borderId="7" xfId="0" applyFont="1" applyBorder="1"/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6" fillId="0" borderId="10" xfId="0" applyFont="1" applyBorder="1"/>
    <xf numFmtId="0" fontId="14" fillId="0" borderId="11" xfId="0" applyFont="1" applyBorder="1"/>
    <xf numFmtId="0" fontId="6" fillId="0" borderId="0" xfId="0" applyFont="1" applyAlignment="1">
      <alignment horizontal="left" vertical="center"/>
    </xf>
    <xf numFmtId="0" fontId="6" fillId="0" borderId="13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25" xfId="0" applyFont="1" applyBorder="1"/>
    <xf numFmtId="0" fontId="14" fillId="0" borderId="26" xfId="0" applyFont="1" applyBorder="1"/>
    <xf numFmtId="0" fontId="6" fillId="0" borderId="27" xfId="0" applyFont="1" applyBorder="1"/>
    <xf numFmtId="0" fontId="14" fillId="0" borderId="28" xfId="0" applyFont="1" applyBorder="1"/>
    <xf numFmtId="0" fontId="6" fillId="0" borderId="29" xfId="0" applyFont="1" applyBorder="1"/>
    <xf numFmtId="0" fontId="14" fillId="0" borderId="30" xfId="0" applyFont="1" applyBorder="1"/>
    <xf numFmtId="0" fontId="5" fillId="0" borderId="31" xfId="0" applyFont="1" applyBorder="1" applyAlignment="1">
      <alignment horizontal="center"/>
    </xf>
    <xf numFmtId="0" fontId="14" fillId="0" borderId="32" xfId="0" applyFont="1" applyBorder="1"/>
    <xf numFmtId="0" fontId="15" fillId="0" borderId="0" xfId="0" applyFont="1"/>
    <xf numFmtId="0" fontId="0" fillId="0" borderId="1" xfId="0" applyBorder="1" applyAlignment="1">
      <alignment shrinkToFit="1"/>
    </xf>
    <xf numFmtId="0" fontId="16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shrinkToFit="1"/>
    </xf>
    <xf numFmtId="0" fontId="17" fillId="0" borderId="1" xfId="0" applyFont="1" applyBorder="1" applyAlignment="1">
      <alignment shrinkToFit="1"/>
    </xf>
    <xf numFmtId="0" fontId="10" fillId="6" borderId="9" xfId="0" applyFont="1" applyFill="1" applyBorder="1" applyAlignment="1">
      <alignment horizontal="center" vertical="top" shrinkToFit="1"/>
    </xf>
    <xf numFmtId="0" fontId="10" fillId="6" borderId="24" xfId="0" applyFont="1" applyFill="1" applyBorder="1" applyAlignment="1">
      <alignment horizontal="center" vertical="top" shrinkToFit="1"/>
    </xf>
    <xf numFmtId="0" fontId="10" fillId="0" borderId="42" xfId="0" applyFont="1" applyBorder="1" applyAlignment="1">
      <alignment horizontal="center" vertical="top" shrinkToFit="1"/>
    </xf>
    <xf numFmtId="0" fontId="10" fillId="0" borderId="43" xfId="0" applyFont="1" applyBorder="1" applyAlignment="1">
      <alignment horizontal="center" vertical="top" shrinkToFit="1"/>
    </xf>
    <xf numFmtId="0" fontId="8" fillId="0" borderId="9" xfId="0" applyFont="1" applyBorder="1" applyAlignment="1">
      <alignment horizontal="center" shrinkToFit="1"/>
    </xf>
    <xf numFmtId="0" fontId="8" fillId="0" borderId="44" xfId="0" applyFont="1" applyBorder="1" applyAlignment="1">
      <alignment horizontal="center" shrinkToFit="1"/>
    </xf>
    <xf numFmtId="0" fontId="13" fillId="0" borderId="12" xfId="0" applyFont="1" applyBorder="1" applyAlignment="1">
      <alignment horizontal="center" shrinkToFit="1"/>
    </xf>
    <xf numFmtId="0" fontId="11" fillId="0" borderId="45" xfId="0" applyFont="1" applyBorder="1" applyAlignment="1">
      <alignment horizontal="center" shrinkToFit="1"/>
    </xf>
    <xf numFmtId="0" fontId="18" fillId="0" borderId="12" xfId="0" applyFont="1" applyBorder="1" applyAlignment="1">
      <alignment horizontal="center" shrinkToFit="1"/>
    </xf>
    <xf numFmtId="0" fontId="8" fillId="0" borderId="12" xfId="0" applyFont="1" applyBorder="1" applyAlignment="1">
      <alignment horizontal="center" shrinkToFit="1"/>
    </xf>
    <xf numFmtId="0" fontId="0" fillId="0" borderId="46" xfId="0" applyBorder="1"/>
    <xf numFmtId="0" fontId="4" fillId="0" borderId="45" xfId="0" applyFont="1" applyBorder="1" applyAlignment="1">
      <alignment horizontal="center"/>
    </xf>
    <xf numFmtId="0" fontId="5" fillId="0" borderId="0" xfId="0" applyFont="1"/>
    <xf numFmtId="0" fontId="17" fillId="0" borderId="39" xfId="0" applyFont="1" applyBorder="1" applyAlignment="1">
      <alignment horizontal="left" shrinkToFit="1"/>
    </xf>
    <xf numFmtId="0" fontId="17" fillId="0" borderId="40" xfId="0" applyFont="1" applyBorder="1" applyAlignment="1">
      <alignment horizontal="left" shrinkToFit="1"/>
    </xf>
    <xf numFmtId="0" fontId="17" fillId="0" borderId="41" xfId="0" applyFont="1" applyBorder="1" applyAlignment="1">
      <alignment horizontal="left" shrinkToFit="1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shrinkToFit="1"/>
    </xf>
    <xf numFmtId="0" fontId="16" fillId="0" borderId="40" xfId="0" applyFont="1" applyBorder="1" applyAlignment="1">
      <alignment horizontal="center" vertical="center" shrinkToFit="1"/>
    </xf>
    <xf numFmtId="0" fontId="16" fillId="0" borderId="41" xfId="0" applyFont="1" applyBorder="1" applyAlignment="1">
      <alignment horizontal="center" vertical="center" shrinkToFit="1"/>
    </xf>
  </cellXfs>
  <cellStyles count="1">
    <cellStyle name="標準" xfId="0" builtinId="0"/>
  </cellStyles>
  <dxfs count="198">
    <dxf>
      <font>
        <b/>
        <i/>
      </font>
      <fill>
        <patternFill>
          <bgColor theme="0" tint="-0.14996795556505021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i/>
        <color rgb="FFFF0000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</font>
    </dxf>
    <dxf>
      <font>
        <b/>
        <i/>
      </font>
    </dxf>
    <dxf>
      <font>
        <b/>
        <color rgb="FFFF0000"/>
      </font>
    </dxf>
    <dxf>
      <font>
        <b/>
        <i/>
        <color rgb="FFFF0000"/>
      </font>
    </dxf>
    <dxf>
      <font>
        <b/>
        <i/>
        <color rgb="FF0070C0"/>
      </font>
    </dxf>
    <dxf>
      <font>
        <b/>
        <i/>
        <color rgb="FF00B050"/>
      </font>
    </dxf>
    <dxf>
      <font>
        <b/>
        <i/>
      </font>
    </dxf>
    <dxf>
      <font>
        <b/>
        <i/>
      </font>
    </dxf>
    <dxf>
      <font>
        <b/>
        <color rgb="FF0070C0"/>
      </font>
    </dxf>
    <dxf>
      <font>
        <b/>
        <color rgb="FFFF0000"/>
      </font>
    </dxf>
    <dxf>
      <font>
        <b/>
        <color rgb="FF0070C0"/>
      </font>
    </dxf>
    <dxf>
      <font>
        <b/>
        <i/>
      </font>
      <fill>
        <patternFill>
          <bgColor theme="0" tint="-0.14996795556505021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i/>
        <color rgb="FFFF0000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</dxf>
    <dxf>
      <font>
        <b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color rgb="FFFF0000"/>
      </font>
    </dxf>
    <dxf>
      <font>
        <b/>
        <i/>
        <color rgb="FFFF0000"/>
      </font>
    </dxf>
    <dxf>
      <font>
        <b/>
        <i/>
        <color rgb="FF0070C0"/>
      </font>
    </dxf>
    <dxf>
      <font>
        <b/>
        <i/>
        <color rgb="FF00B050"/>
      </font>
    </dxf>
    <dxf>
      <font>
        <b/>
        <i/>
      </font>
    </dxf>
    <dxf>
      <font>
        <b/>
        <color rgb="FF0070C0"/>
      </font>
    </dxf>
    <dxf>
      <font>
        <b/>
        <color rgb="FF0070C0"/>
      </font>
    </dxf>
    <dxf>
      <font>
        <b/>
        <color rgb="FFFF0000"/>
      </font>
    </dxf>
    <dxf>
      <font>
        <b/>
        <i/>
      </font>
      <fill>
        <patternFill>
          <bgColor theme="0" tint="-0.14996795556505021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i/>
        <color rgb="FFFF0000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color rgb="FFFF0000"/>
      </font>
    </dxf>
    <dxf>
      <font>
        <b/>
        <i/>
        <color rgb="FF00B050"/>
      </font>
    </dxf>
    <dxf>
      <font>
        <b/>
        <i/>
        <color rgb="FF0070C0"/>
      </font>
    </dxf>
    <dxf>
      <font>
        <b/>
        <i/>
        <color rgb="FFFF0000"/>
      </font>
    </dxf>
    <dxf>
      <font>
        <b/>
        <i/>
      </font>
    </dxf>
    <dxf>
      <font>
        <b/>
        <i/>
      </font>
    </dxf>
    <dxf>
      <font>
        <b/>
        <color rgb="FF0070C0"/>
      </font>
    </dxf>
    <dxf>
      <font>
        <b/>
        <color rgb="FF0070C0"/>
      </font>
    </dxf>
    <dxf>
      <font>
        <b/>
        <color rgb="FFFF0000"/>
      </font>
    </dxf>
    <dxf>
      <font>
        <b/>
        <i/>
      </font>
      <fill>
        <patternFill>
          <bgColor theme="0" tint="-0.14996795556505021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i/>
        <color rgb="FFFF0000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color rgb="FFFF0000"/>
      </font>
    </dxf>
    <dxf>
      <font>
        <b/>
        <i/>
        <color rgb="FFFF0000"/>
      </font>
    </dxf>
    <dxf>
      <font>
        <b/>
        <i/>
        <color rgb="FF0070C0"/>
      </font>
    </dxf>
    <dxf>
      <font>
        <b/>
        <i/>
        <color rgb="FF00B050"/>
      </font>
    </dxf>
    <dxf>
      <font>
        <b/>
        <i/>
      </font>
    </dxf>
    <dxf>
      <font>
        <b/>
        <i/>
      </font>
    </dxf>
    <dxf>
      <font>
        <b/>
        <color rgb="FF0070C0"/>
      </font>
    </dxf>
    <dxf>
      <font>
        <b/>
        <color rgb="FF0070C0"/>
      </font>
    </dxf>
    <dxf>
      <font>
        <b/>
        <color rgb="FFFF0000"/>
      </font>
    </dxf>
    <dxf>
      <font>
        <b/>
        <i/>
      </font>
      <fill>
        <patternFill>
          <bgColor theme="0" tint="-0.14996795556505021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  <fill>
        <patternFill>
          <bgColor theme="0" tint="-0.14993743705557422"/>
        </patternFill>
      </fill>
    </dxf>
    <dxf>
      <font>
        <b/>
        <i/>
        <color rgb="FFFF0000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color rgb="FFFF0000"/>
      </font>
    </dxf>
    <dxf>
      <font>
        <b/>
        <i/>
        <color rgb="FF00B050"/>
      </font>
    </dxf>
    <dxf>
      <font>
        <b/>
        <i/>
        <color rgb="FF0070C0"/>
      </font>
    </dxf>
    <dxf>
      <font>
        <b/>
        <i/>
        <color rgb="FFFF0000"/>
      </font>
    </dxf>
    <dxf>
      <font>
        <b/>
        <i/>
      </font>
    </dxf>
    <dxf>
      <font>
        <b/>
        <color rgb="FFFF0000"/>
      </font>
    </dxf>
    <dxf>
      <font>
        <b/>
        <color rgb="FF0070C0"/>
      </font>
    </dxf>
    <dxf>
      <font>
        <b/>
        <color rgb="FF0070C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"/>
  <sheetViews>
    <sheetView zoomScale="55" zoomScaleNormal="5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27" sqref="D25:D27"/>
    </sheetView>
  </sheetViews>
  <sheetFormatPr defaultRowHeight="13.5" x14ac:dyDescent="0.15"/>
  <cols>
    <col min="1" max="3" width="6" customWidth="1"/>
    <col min="4" max="4" width="16.125" customWidth="1"/>
    <col min="5" max="5" width="8.25" customWidth="1"/>
    <col min="8" max="8" width="6.125" customWidth="1"/>
    <col min="9" max="9" width="10.375" customWidth="1"/>
    <col min="10" max="11" width="5.5" customWidth="1"/>
    <col min="12" max="12" width="6.75" customWidth="1"/>
    <col min="13" max="13" width="6.125" customWidth="1"/>
    <col min="15" max="15" width="6" customWidth="1"/>
    <col min="16" max="16" width="10" customWidth="1"/>
    <col min="17" max="18" width="5.5" customWidth="1"/>
    <col min="19" max="19" width="8.125" customWidth="1"/>
    <col min="20" max="20" width="5.75" customWidth="1"/>
    <col min="22" max="22" width="6" customWidth="1"/>
    <col min="23" max="23" width="9.75" customWidth="1"/>
    <col min="24" max="24" width="4.625" customWidth="1"/>
    <col min="25" max="25" width="6.375" customWidth="1"/>
    <col min="27" max="27" width="6" customWidth="1"/>
    <col min="29" max="29" width="6.25" customWidth="1"/>
    <col min="30" max="30" width="9.875" customWidth="1"/>
    <col min="31" max="31" width="4.375" customWidth="1"/>
    <col min="32" max="32" width="5.375" customWidth="1"/>
    <col min="33" max="33" width="11.625" customWidth="1"/>
    <col min="34" max="34" width="6.125" customWidth="1"/>
    <col min="35" max="35" width="8" customWidth="1"/>
    <col min="36" max="36" width="6.25" customWidth="1"/>
    <col min="37" max="40" width="4.875" customWidth="1"/>
    <col min="41" max="41" width="5.875" customWidth="1"/>
    <col min="42" max="42" width="12.5" customWidth="1"/>
  </cols>
  <sheetData>
    <row r="1" spans="1:52" ht="19.5" thickBot="1" x14ac:dyDescent="0.2">
      <c r="A1" s="3" t="s">
        <v>85</v>
      </c>
      <c r="B1" s="4" t="s">
        <v>0</v>
      </c>
      <c r="C1" s="4" t="s">
        <v>32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6" t="s">
        <v>33</v>
      </c>
      <c r="AJ1" s="7" t="s">
        <v>34</v>
      </c>
      <c r="AK1" s="6" t="s">
        <v>86</v>
      </c>
      <c r="AL1" s="8" t="s">
        <v>87</v>
      </c>
      <c r="AM1" s="8" t="s">
        <v>88</v>
      </c>
      <c r="AN1" s="7" t="s">
        <v>89</v>
      </c>
      <c r="AO1" s="9" t="s">
        <v>90</v>
      </c>
      <c r="AP1" s="10" t="s">
        <v>91</v>
      </c>
      <c r="AQ1" s="10" t="s">
        <v>48</v>
      </c>
      <c r="AR1" s="77" t="s">
        <v>92</v>
      </c>
      <c r="AS1" s="44" t="s">
        <v>93</v>
      </c>
      <c r="AT1" s="78" t="s">
        <v>94</v>
      </c>
      <c r="AU1" s="79" t="s">
        <v>95</v>
      </c>
      <c r="AV1" s="78" t="s">
        <v>34</v>
      </c>
      <c r="AW1" s="80" t="s">
        <v>96</v>
      </c>
      <c r="AX1" s="79"/>
      <c r="AY1" s="45" t="s">
        <v>49</v>
      </c>
      <c r="AZ1" s="87"/>
    </row>
    <row r="2" spans="1:52" ht="27.75" customHeight="1" x14ac:dyDescent="0.2">
      <c r="A2" s="2"/>
      <c r="B2" s="2"/>
      <c r="C2" s="2"/>
      <c r="D2" s="2"/>
      <c r="E2" s="5"/>
      <c r="F2" s="2"/>
      <c r="G2" s="2"/>
      <c r="H2" s="19"/>
      <c r="I2" s="2"/>
      <c r="J2" s="18"/>
      <c r="K2" s="18"/>
      <c r="L2" s="2"/>
      <c r="M2" s="2"/>
      <c r="N2" s="2"/>
      <c r="O2" s="19"/>
      <c r="P2" s="2"/>
      <c r="Q2" s="18"/>
      <c r="R2" s="18"/>
      <c r="S2" s="2"/>
      <c r="T2" s="2"/>
      <c r="U2" s="2"/>
      <c r="V2" s="19"/>
      <c r="W2" s="2"/>
      <c r="X2" s="18"/>
      <c r="Y2" s="18"/>
      <c r="Z2" s="2"/>
      <c r="AA2" s="2"/>
      <c r="AB2" s="2"/>
      <c r="AC2" s="19"/>
      <c r="AD2" s="2"/>
      <c r="AE2" s="18"/>
      <c r="AF2" s="18"/>
      <c r="AG2" s="2"/>
      <c r="AH2" s="2"/>
      <c r="AI2" s="11">
        <f t="shared" ref="AI2:AI21" si="0">MIN(AH2,AA2,T2,M2)</f>
        <v>0</v>
      </c>
      <c r="AJ2" s="12">
        <f t="shared" ref="AJ2:AJ21" si="1">SUM(K2,R2,Y2,AF2)</f>
        <v>0</v>
      </c>
      <c r="AK2" s="13">
        <f t="shared" ref="AK2:AK21" si="2">COUNTIF(AE2,1)+COUNTIF(X2,1)+COUNTIF(Q2,1)+COUNTIF(J2,1)</f>
        <v>0</v>
      </c>
      <c r="AL2" s="14">
        <f t="shared" ref="AL2:AL21" si="3">COUNTIF(AE2,2)+COUNTIF(X2,2)+COUNTIF(Q2,2)+COUNTIF(J2,2)</f>
        <v>0</v>
      </c>
      <c r="AM2" s="14">
        <f t="shared" ref="AM2:AM21" si="4">COUNTIF(AE2,3)+COUNTIF(X2,3)+COUNTIF(Q2,3)+COUNTIF(J2,3)</f>
        <v>0</v>
      </c>
      <c r="AN2" s="15">
        <f t="shared" ref="AN2:AN21" si="5">COUNTIF(AE2,4)+COUNTIF(X2,4)+COUNTIF(Q2,4)+COUNTIF(J2,4)</f>
        <v>0</v>
      </c>
      <c r="AO2" s="16">
        <f t="shared" ref="AO2:AO21" si="6">SUM(AK2:AN2)</f>
        <v>0</v>
      </c>
      <c r="AP2" s="17"/>
      <c r="AQ2" s="46"/>
      <c r="AR2" s="47"/>
      <c r="AS2" s="48"/>
      <c r="AT2" s="81"/>
      <c r="AU2" s="82"/>
      <c r="AV2" s="83">
        <f t="shared" ref="AV2:AV21" si="7">SUM(J2,Q2,X2,AE2)</f>
        <v>0</v>
      </c>
      <c r="AW2" s="84"/>
      <c r="AX2" s="85"/>
      <c r="AY2" s="49"/>
      <c r="AZ2" s="88">
        <v>1</v>
      </c>
    </row>
    <row r="3" spans="1:52" ht="27.75" customHeight="1" x14ac:dyDescent="0.2">
      <c r="A3" s="2"/>
      <c r="B3" s="2"/>
      <c r="C3" s="2"/>
      <c r="D3" s="2"/>
      <c r="E3" s="5"/>
      <c r="F3" s="2"/>
      <c r="G3" s="2"/>
      <c r="H3" s="19"/>
      <c r="I3" s="2"/>
      <c r="J3" s="18"/>
      <c r="K3" s="18"/>
      <c r="L3" s="2"/>
      <c r="M3" s="2"/>
      <c r="N3" s="2"/>
      <c r="O3" s="19"/>
      <c r="P3" s="2"/>
      <c r="Q3" s="18"/>
      <c r="R3" s="18"/>
      <c r="S3" s="2"/>
      <c r="T3" s="2"/>
      <c r="U3" s="2"/>
      <c r="V3" s="19"/>
      <c r="W3" s="2"/>
      <c r="X3" s="18"/>
      <c r="Y3" s="18"/>
      <c r="Z3" s="2"/>
      <c r="AA3" s="2"/>
      <c r="AB3" s="2"/>
      <c r="AC3" s="19"/>
      <c r="AD3" s="2"/>
      <c r="AE3" s="18"/>
      <c r="AF3" s="18"/>
      <c r="AG3" s="2"/>
      <c r="AH3" s="2"/>
      <c r="AI3" s="11">
        <f t="shared" si="0"/>
        <v>0</v>
      </c>
      <c r="AJ3" s="12">
        <f t="shared" si="1"/>
        <v>0</v>
      </c>
      <c r="AK3" s="13">
        <f t="shared" si="2"/>
        <v>0</v>
      </c>
      <c r="AL3" s="14">
        <f t="shared" si="3"/>
        <v>0</v>
      </c>
      <c r="AM3" s="14">
        <f t="shared" si="4"/>
        <v>0</v>
      </c>
      <c r="AN3" s="15">
        <f t="shared" si="5"/>
        <v>0</v>
      </c>
      <c r="AO3" s="16">
        <f t="shared" si="6"/>
        <v>0</v>
      </c>
      <c r="AP3" s="17"/>
      <c r="AQ3" s="46"/>
      <c r="AR3" s="47"/>
      <c r="AS3" s="48"/>
      <c r="AT3" s="83"/>
      <c r="AU3" s="82"/>
      <c r="AV3" s="83">
        <f t="shared" si="7"/>
        <v>0</v>
      </c>
      <c r="AW3" s="84"/>
      <c r="AX3" s="85"/>
      <c r="AY3" s="50"/>
      <c r="AZ3" s="88">
        <v>2</v>
      </c>
    </row>
    <row r="4" spans="1:52" ht="27.75" customHeight="1" x14ac:dyDescent="0.2">
      <c r="A4" s="2"/>
      <c r="B4" s="2"/>
      <c r="C4" s="2"/>
      <c r="D4" s="2"/>
      <c r="E4" s="5"/>
      <c r="F4" s="2"/>
      <c r="G4" s="2"/>
      <c r="H4" s="19"/>
      <c r="I4" s="2"/>
      <c r="J4" s="18"/>
      <c r="K4" s="18"/>
      <c r="L4" s="2"/>
      <c r="M4" s="2"/>
      <c r="N4" s="2"/>
      <c r="O4" s="19"/>
      <c r="P4" s="2"/>
      <c r="Q4" s="18"/>
      <c r="R4" s="18"/>
      <c r="S4" s="2"/>
      <c r="T4" s="2"/>
      <c r="U4" s="2"/>
      <c r="V4" s="19"/>
      <c r="W4" s="2"/>
      <c r="X4" s="18"/>
      <c r="Y4" s="18"/>
      <c r="Z4" s="2"/>
      <c r="AA4" s="2"/>
      <c r="AB4" s="2"/>
      <c r="AC4" s="19"/>
      <c r="AD4" s="2"/>
      <c r="AE4" s="18"/>
      <c r="AF4" s="18"/>
      <c r="AG4" s="2"/>
      <c r="AH4" s="2"/>
      <c r="AI4" s="11">
        <f t="shared" si="0"/>
        <v>0</v>
      </c>
      <c r="AJ4" s="12">
        <f t="shared" si="1"/>
        <v>0</v>
      </c>
      <c r="AK4" s="13">
        <f t="shared" si="2"/>
        <v>0</v>
      </c>
      <c r="AL4" s="14">
        <f t="shared" si="3"/>
        <v>0</v>
      </c>
      <c r="AM4" s="14">
        <f t="shared" si="4"/>
        <v>0</v>
      </c>
      <c r="AN4" s="15">
        <f t="shared" si="5"/>
        <v>0</v>
      </c>
      <c r="AO4" s="16">
        <f t="shared" si="6"/>
        <v>0</v>
      </c>
      <c r="AP4" s="17"/>
      <c r="AQ4" s="47"/>
      <c r="AR4" s="47"/>
      <c r="AS4" s="48"/>
      <c r="AT4" s="86"/>
      <c r="AU4" s="82"/>
      <c r="AV4" s="83">
        <f t="shared" si="7"/>
        <v>0</v>
      </c>
      <c r="AW4" s="84"/>
      <c r="AX4" s="85"/>
      <c r="AY4" s="50"/>
      <c r="AZ4" s="88">
        <v>3</v>
      </c>
    </row>
    <row r="5" spans="1:52" ht="27.75" customHeight="1" x14ac:dyDescent="0.2">
      <c r="A5" s="2"/>
      <c r="B5" s="2"/>
      <c r="C5" s="2"/>
      <c r="D5" s="2"/>
      <c r="E5" s="5"/>
      <c r="F5" s="2"/>
      <c r="G5" s="2"/>
      <c r="H5" s="19"/>
      <c r="I5" s="2"/>
      <c r="J5" s="18"/>
      <c r="K5" s="18"/>
      <c r="L5" s="2"/>
      <c r="M5" s="2"/>
      <c r="N5" s="2"/>
      <c r="O5" s="19"/>
      <c r="P5" s="2"/>
      <c r="Q5" s="18"/>
      <c r="R5" s="18"/>
      <c r="S5" s="2"/>
      <c r="T5" s="2"/>
      <c r="U5" s="2"/>
      <c r="V5" s="19"/>
      <c r="W5" s="2"/>
      <c r="X5" s="18"/>
      <c r="Y5" s="18"/>
      <c r="Z5" s="2"/>
      <c r="AA5" s="2"/>
      <c r="AB5" s="2"/>
      <c r="AC5" s="19"/>
      <c r="AD5" s="2"/>
      <c r="AE5" s="18"/>
      <c r="AF5" s="18"/>
      <c r="AG5" s="2"/>
      <c r="AH5" s="2"/>
      <c r="AI5" s="11">
        <f t="shared" si="0"/>
        <v>0</v>
      </c>
      <c r="AJ5" s="12">
        <f t="shared" si="1"/>
        <v>0</v>
      </c>
      <c r="AK5" s="13">
        <f t="shared" si="2"/>
        <v>0</v>
      </c>
      <c r="AL5" s="14">
        <f t="shared" si="3"/>
        <v>0</v>
      </c>
      <c r="AM5" s="14">
        <f t="shared" si="4"/>
        <v>0</v>
      </c>
      <c r="AN5" s="15">
        <f t="shared" si="5"/>
        <v>0</v>
      </c>
      <c r="AO5" s="16">
        <f t="shared" si="6"/>
        <v>0</v>
      </c>
      <c r="AP5" s="17"/>
      <c r="AQ5" s="46"/>
      <c r="AR5" s="47"/>
      <c r="AS5" s="48"/>
      <c r="AT5" s="86"/>
      <c r="AU5" s="82"/>
      <c r="AV5" s="83">
        <f t="shared" si="7"/>
        <v>0</v>
      </c>
      <c r="AW5" s="84"/>
      <c r="AX5" s="85"/>
      <c r="AY5" s="50"/>
      <c r="AZ5" s="88">
        <v>4</v>
      </c>
    </row>
    <row r="6" spans="1:52" ht="27.75" customHeight="1" x14ac:dyDescent="0.2">
      <c r="A6" s="2"/>
      <c r="B6" s="2"/>
      <c r="C6" s="2"/>
      <c r="D6" s="2"/>
      <c r="E6" s="5"/>
      <c r="F6" s="2"/>
      <c r="G6" s="2"/>
      <c r="H6" s="19"/>
      <c r="I6" s="2"/>
      <c r="J6" s="18"/>
      <c r="K6" s="18"/>
      <c r="L6" s="2"/>
      <c r="M6" s="2"/>
      <c r="N6" s="2"/>
      <c r="O6" s="19"/>
      <c r="P6" s="2"/>
      <c r="Q6" s="18"/>
      <c r="R6" s="18"/>
      <c r="S6" s="2"/>
      <c r="T6" s="2"/>
      <c r="U6" s="2"/>
      <c r="V6" s="19"/>
      <c r="W6" s="2"/>
      <c r="X6" s="18"/>
      <c r="Y6" s="18"/>
      <c r="Z6" s="2"/>
      <c r="AA6" s="2"/>
      <c r="AB6" s="2"/>
      <c r="AC6" s="19"/>
      <c r="AD6" s="2"/>
      <c r="AE6" s="18"/>
      <c r="AF6" s="18"/>
      <c r="AG6" s="2"/>
      <c r="AH6" s="2"/>
      <c r="AI6" s="11">
        <f t="shared" si="0"/>
        <v>0</v>
      </c>
      <c r="AJ6" s="12">
        <f t="shared" si="1"/>
        <v>0</v>
      </c>
      <c r="AK6" s="13">
        <f t="shared" si="2"/>
        <v>0</v>
      </c>
      <c r="AL6" s="14">
        <f t="shared" si="3"/>
        <v>0</v>
      </c>
      <c r="AM6" s="14">
        <f t="shared" si="4"/>
        <v>0</v>
      </c>
      <c r="AN6" s="15">
        <f t="shared" si="5"/>
        <v>0</v>
      </c>
      <c r="AO6" s="16">
        <f t="shared" si="6"/>
        <v>0</v>
      </c>
      <c r="AP6" s="17"/>
      <c r="AQ6" s="46"/>
      <c r="AR6" s="47"/>
      <c r="AS6" s="48"/>
      <c r="AT6" s="83"/>
      <c r="AU6" s="82"/>
      <c r="AV6" s="83">
        <f t="shared" si="7"/>
        <v>0</v>
      </c>
      <c r="AW6" s="84"/>
      <c r="AX6" s="85"/>
      <c r="AY6" s="50"/>
      <c r="AZ6" s="88">
        <v>5</v>
      </c>
    </row>
    <row r="7" spans="1:52" ht="27.75" customHeight="1" x14ac:dyDescent="0.2">
      <c r="A7" s="2"/>
      <c r="B7" s="2"/>
      <c r="C7" s="2"/>
      <c r="D7" s="2"/>
      <c r="E7" s="5"/>
      <c r="F7" s="2"/>
      <c r="G7" s="2"/>
      <c r="H7" s="19"/>
      <c r="I7" s="2"/>
      <c r="J7" s="18"/>
      <c r="K7" s="18"/>
      <c r="L7" s="2"/>
      <c r="M7" s="2"/>
      <c r="N7" s="2"/>
      <c r="O7" s="19"/>
      <c r="P7" s="2"/>
      <c r="Q7" s="18"/>
      <c r="R7" s="18"/>
      <c r="S7" s="2"/>
      <c r="T7" s="2"/>
      <c r="U7" s="2"/>
      <c r="V7" s="19"/>
      <c r="W7" s="2"/>
      <c r="X7" s="18"/>
      <c r="Y7" s="18"/>
      <c r="Z7" s="2"/>
      <c r="AA7" s="2"/>
      <c r="AB7" s="2"/>
      <c r="AC7" s="19"/>
      <c r="AD7" s="2"/>
      <c r="AE7" s="18"/>
      <c r="AF7" s="18"/>
      <c r="AG7" s="2"/>
      <c r="AH7" s="2"/>
      <c r="AI7" s="11">
        <f t="shared" si="0"/>
        <v>0</v>
      </c>
      <c r="AJ7" s="12">
        <f t="shared" si="1"/>
        <v>0</v>
      </c>
      <c r="AK7" s="13">
        <f t="shared" si="2"/>
        <v>0</v>
      </c>
      <c r="AL7" s="14">
        <f t="shared" si="3"/>
        <v>0</v>
      </c>
      <c r="AM7" s="14">
        <f t="shared" si="4"/>
        <v>0</v>
      </c>
      <c r="AN7" s="15">
        <f t="shared" si="5"/>
        <v>0</v>
      </c>
      <c r="AO7" s="16">
        <f t="shared" si="6"/>
        <v>0</v>
      </c>
      <c r="AP7" s="17"/>
      <c r="AQ7" s="46"/>
      <c r="AR7" s="47"/>
      <c r="AS7" s="48"/>
      <c r="AT7" s="83"/>
      <c r="AU7" s="82"/>
      <c r="AV7" s="83">
        <f t="shared" si="7"/>
        <v>0</v>
      </c>
      <c r="AW7" s="84"/>
      <c r="AX7" s="85"/>
      <c r="AY7" s="50"/>
      <c r="AZ7" s="88">
        <v>6</v>
      </c>
    </row>
    <row r="8" spans="1:52" ht="27.75" customHeight="1" x14ac:dyDescent="0.2">
      <c r="A8" s="2"/>
      <c r="B8" s="2"/>
      <c r="C8" s="2"/>
      <c r="D8" s="2"/>
      <c r="E8" s="5"/>
      <c r="F8" s="2"/>
      <c r="G8" s="2"/>
      <c r="H8" s="19"/>
      <c r="I8" s="2"/>
      <c r="J8" s="18"/>
      <c r="K8" s="18"/>
      <c r="L8" s="2"/>
      <c r="M8" s="2"/>
      <c r="N8" s="2"/>
      <c r="O8" s="19"/>
      <c r="P8" s="2"/>
      <c r="Q8" s="18"/>
      <c r="R8" s="18"/>
      <c r="S8" s="2"/>
      <c r="T8" s="2"/>
      <c r="U8" s="2"/>
      <c r="V8" s="19"/>
      <c r="W8" s="2"/>
      <c r="X8" s="18"/>
      <c r="Y8" s="18"/>
      <c r="Z8" s="2"/>
      <c r="AA8" s="2"/>
      <c r="AB8" s="2"/>
      <c r="AC8" s="19"/>
      <c r="AD8" s="2"/>
      <c r="AE8" s="18"/>
      <c r="AF8" s="18"/>
      <c r="AG8" s="2"/>
      <c r="AH8" s="2"/>
      <c r="AI8" s="11">
        <f t="shared" si="0"/>
        <v>0</v>
      </c>
      <c r="AJ8" s="12">
        <f t="shared" si="1"/>
        <v>0</v>
      </c>
      <c r="AK8" s="13">
        <f t="shared" si="2"/>
        <v>0</v>
      </c>
      <c r="AL8" s="14">
        <f t="shared" si="3"/>
        <v>0</v>
      </c>
      <c r="AM8" s="14">
        <f t="shared" si="4"/>
        <v>0</v>
      </c>
      <c r="AN8" s="15">
        <f t="shared" si="5"/>
        <v>0</v>
      </c>
      <c r="AO8" s="16">
        <f t="shared" si="6"/>
        <v>0</v>
      </c>
      <c r="AP8" s="17"/>
      <c r="AQ8" s="47"/>
      <c r="AR8" s="47"/>
      <c r="AS8" s="48"/>
      <c r="AT8" s="86"/>
      <c r="AU8" s="82"/>
      <c r="AV8" s="83">
        <f t="shared" si="7"/>
        <v>0</v>
      </c>
      <c r="AW8" s="84"/>
      <c r="AX8" s="85"/>
      <c r="AY8" s="50"/>
      <c r="AZ8" s="88">
        <v>7</v>
      </c>
    </row>
    <row r="9" spans="1:52" ht="27.75" customHeight="1" x14ac:dyDescent="0.2">
      <c r="A9" s="2"/>
      <c r="B9" s="2"/>
      <c r="C9" s="2"/>
      <c r="D9" s="2"/>
      <c r="E9" s="5"/>
      <c r="F9" s="2"/>
      <c r="G9" s="2"/>
      <c r="H9" s="19"/>
      <c r="I9" s="2"/>
      <c r="J9" s="18"/>
      <c r="K9" s="18"/>
      <c r="L9" s="2"/>
      <c r="M9" s="2"/>
      <c r="N9" s="2"/>
      <c r="O9" s="19"/>
      <c r="P9" s="2"/>
      <c r="Q9" s="18"/>
      <c r="R9" s="18"/>
      <c r="S9" s="2"/>
      <c r="T9" s="2"/>
      <c r="U9" s="2"/>
      <c r="V9" s="19"/>
      <c r="W9" s="2"/>
      <c r="X9" s="18"/>
      <c r="Y9" s="18"/>
      <c r="Z9" s="2"/>
      <c r="AA9" s="2"/>
      <c r="AB9" s="2"/>
      <c r="AC9" s="19"/>
      <c r="AD9" s="2"/>
      <c r="AE9" s="18"/>
      <c r="AF9" s="18"/>
      <c r="AG9" s="2"/>
      <c r="AH9" s="2"/>
      <c r="AI9" s="11">
        <f t="shared" si="0"/>
        <v>0</v>
      </c>
      <c r="AJ9" s="12">
        <f t="shared" si="1"/>
        <v>0</v>
      </c>
      <c r="AK9" s="13">
        <f t="shared" si="2"/>
        <v>0</v>
      </c>
      <c r="AL9" s="14">
        <f t="shared" si="3"/>
        <v>0</v>
      </c>
      <c r="AM9" s="14">
        <f t="shared" si="4"/>
        <v>0</v>
      </c>
      <c r="AN9" s="15">
        <f t="shared" si="5"/>
        <v>0</v>
      </c>
      <c r="AO9" s="16">
        <f t="shared" si="6"/>
        <v>0</v>
      </c>
      <c r="AP9" s="17"/>
      <c r="AQ9" s="47"/>
      <c r="AR9" s="47"/>
      <c r="AS9" s="48"/>
      <c r="AT9" s="83"/>
      <c r="AU9" s="82"/>
      <c r="AV9" s="83">
        <f t="shared" si="7"/>
        <v>0</v>
      </c>
      <c r="AW9" s="84"/>
      <c r="AX9" s="85"/>
      <c r="AY9" s="50"/>
      <c r="AZ9" s="88">
        <v>8</v>
      </c>
    </row>
    <row r="10" spans="1:52" ht="27.75" customHeight="1" x14ac:dyDescent="0.2">
      <c r="A10" s="2"/>
      <c r="B10" s="2"/>
      <c r="C10" s="2"/>
      <c r="D10" s="2"/>
      <c r="E10" s="5"/>
      <c r="F10" s="2"/>
      <c r="G10" s="2"/>
      <c r="H10" s="19"/>
      <c r="I10" s="2"/>
      <c r="J10" s="18"/>
      <c r="K10" s="18"/>
      <c r="L10" s="2"/>
      <c r="M10" s="2"/>
      <c r="N10" s="2"/>
      <c r="O10" s="19"/>
      <c r="P10" s="2"/>
      <c r="Q10" s="18"/>
      <c r="R10" s="18"/>
      <c r="S10" s="2"/>
      <c r="T10" s="2"/>
      <c r="U10" s="2"/>
      <c r="V10" s="19"/>
      <c r="W10" s="2"/>
      <c r="X10" s="18"/>
      <c r="Y10" s="18"/>
      <c r="Z10" s="2"/>
      <c r="AA10" s="2"/>
      <c r="AB10" s="2"/>
      <c r="AC10" s="19"/>
      <c r="AD10" s="2"/>
      <c r="AE10" s="18"/>
      <c r="AF10" s="18"/>
      <c r="AG10" s="2"/>
      <c r="AH10" s="2"/>
      <c r="AI10" s="11">
        <f t="shared" si="0"/>
        <v>0</v>
      </c>
      <c r="AJ10" s="12">
        <f t="shared" si="1"/>
        <v>0</v>
      </c>
      <c r="AK10" s="13">
        <f t="shared" si="2"/>
        <v>0</v>
      </c>
      <c r="AL10" s="14">
        <f t="shared" si="3"/>
        <v>0</v>
      </c>
      <c r="AM10" s="14">
        <f t="shared" si="4"/>
        <v>0</v>
      </c>
      <c r="AN10" s="15">
        <f t="shared" si="5"/>
        <v>0</v>
      </c>
      <c r="AO10" s="16">
        <f t="shared" si="6"/>
        <v>0</v>
      </c>
      <c r="AP10" s="17"/>
      <c r="AQ10" s="47"/>
      <c r="AR10" s="47"/>
      <c r="AS10" s="48"/>
      <c r="AT10" s="83"/>
      <c r="AU10" s="82"/>
      <c r="AV10" s="83">
        <f t="shared" si="7"/>
        <v>0</v>
      </c>
      <c r="AW10" s="84"/>
      <c r="AX10" s="85"/>
      <c r="AY10" s="50"/>
      <c r="AZ10" s="16">
        <v>9</v>
      </c>
    </row>
    <row r="11" spans="1:52" ht="27.75" customHeight="1" x14ac:dyDescent="0.2">
      <c r="A11" s="2"/>
      <c r="B11" s="2"/>
      <c r="C11" s="2"/>
      <c r="D11" s="2"/>
      <c r="E11" s="5"/>
      <c r="F11" s="2"/>
      <c r="G11" s="2"/>
      <c r="H11" s="19"/>
      <c r="I11" s="2"/>
      <c r="J11" s="18"/>
      <c r="K11" s="18"/>
      <c r="L11" s="2"/>
      <c r="M11" s="2"/>
      <c r="N11" s="2"/>
      <c r="O11" s="19"/>
      <c r="P11" s="2"/>
      <c r="Q11" s="18"/>
      <c r="R11" s="18"/>
      <c r="S11" s="2"/>
      <c r="T11" s="2"/>
      <c r="U11" s="2"/>
      <c r="V11" s="19"/>
      <c r="W11" s="2"/>
      <c r="X11" s="18"/>
      <c r="Y11" s="18"/>
      <c r="Z11" s="2"/>
      <c r="AA11" s="2"/>
      <c r="AB11" s="2"/>
      <c r="AC11" s="19"/>
      <c r="AD11" s="2"/>
      <c r="AE11" s="18"/>
      <c r="AF11" s="18"/>
      <c r="AG11" s="2"/>
      <c r="AH11" s="2"/>
      <c r="AI11" s="11">
        <f t="shared" si="0"/>
        <v>0</v>
      </c>
      <c r="AJ11" s="12">
        <f t="shared" si="1"/>
        <v>0</v>
      </c>
      <c r="AK11" s="13">
        <f t="shared" si="2"/>
        <v>0</v>
      </c>
      <c r="AL11" s="14">
        <f t="shared" si="3"/>
        <v>0</v>
      </c>
      <c r="AM11" s="14">
        <f t="shared" si="4"/>
        <v>0</v>
      </c>
      <c r="AN11" s="15">
        <f t="shared" si="5"/>
        <v>0</v>
      </c>
      <c r="AO11" s="16">
        <f t="shared" si="6"/>
        <v>0</v>
      </c>
      <c r="AP11" s="17"/>
      <c r="AQ11" s="47"/>
      <c r="AR11" s="47"/>
      <c r="AS11" s="48"/>
      <c r="AT11" s="86"/>
      <c r="AU11" s="82"/>
      <c r="AV11" s="83">
        <f t="shared" si="7"/>
        <v>0</v>
      </c>
      <c r="AW11" s="84"/>
      <c r="AX11" s="85"/>
      <c r="AY11" s="50"/>
      <c r="AZ11" s="88">
        <v>10</v>
      </c>
    </row>
    <row r="12" spans="1:52" ht="27.75" customHeight="1" x14ac:dyDescent="0.2">
      <c r="A12" s="2"/>
      <c r="B12" s="2"/>
      <c r="C12" s="2"/>
      <c r="D12" s="2"/>
      <c r="E12" s="5"/>
      <c r="F12" s="2"/>
      <c r="G12" s="2"/>
      <c r="H12" s="19"/>
      <c r="I12" s="2"/>
      <c r="J12" s="18"/>
      <c r="K12" s="18"/>
      <c r="L12" s="2"/>
      <c r="M12" s="2"/>
      <c r="N12" s="2"/>
      <c r="O12" s="19"/>
      <c r="P12" s="2"/>
      <c r="Q12" s="18"/>
      <c r="R12" s="18"/>
      <c r="S12" s="2"/>
      <c r="T12" s="2"/>
      <c r="U12" s="2"/>
      <c r="V12" s="19"/>
      <c r="W12" s="2"/>
      <c r="X12" s="18"/>
      <c r="Y12" s="18"/>
      <c r="Z12" s="2"/>
      <c r="AA12" s="2"/>
      <c r="AB12" s="2"/>
      <c r="AC12" s="19"/>
      <c r="AD12" s="2"/>
      <c r="AE12" s="18"/>
      <c r="AF12" s="18"/>
      <c r="AG12" s="2"/>
      <c r="AH12" s="2"/>
      <c r="AI12" s="11">
        <f t="shared" si="0"/>
        <v>0</v>
      </c>
      <c r="AJ12" s="12">
        <f t="shared" si="1"/>
        <v>0</v>
      </c>
      <c r="AK12" s="13">
        <f t="shared" si="2"/>
        <v>0</v>
      </c>
      <c r="AL12" s="14">
        <f t="shared" si="3"/>
        <v>0</v>
      </c>
      <c r="AM12" s="14">
        <f t="shared" si="4"/>
        <v>0</v>
      </c>
      <c r="AN12" s="15">
        <f t="shared" si="5"/>
        <v>0</v>
      </c>
      <c r="AO12" s="16">
        <f t="shared" si="6"/>
        <v>0</v>
      </c>
      <c r="AP12" s="17"/>
      <c r="AQ12" s="46"/>
      <c r="AR12" s="47"/>
      <c r="AS12" s="48"/>
      <c r="AT12" s="83"/>
      <c r="AU12" s="82"/>
      <c r="AV12" s="83">
        <f t="shared" si="7"/>
        <v>0</v>
      </c>
      <c r="AW12" s="84"/>
      <c r="AX12" s="85"/>
      <c r="AY12" s="50"/>
      <c r="AZ12" s="88">
        <v>11</v>
      </c>
    </row>
    <row r="13" spans="1:52" ht="27.75" customHeight="1" x14ac:dyDescent="0.2">
      <c r="A13" s="2"/>
      <c r="B13" s="2"/>
      <c r="C13" s="2"/>
      <c r="D13" s="2"/>
      <c r="E13" s="5"/>
      <c r="F13" s="2"/>
      <c r="G13" s="2"/>
      <c r="H13" s="19"/>
      <c r="I13" s="2"/>
      <c r="J13" s="18"/>
      <c r="K13" s="18"/>
      <c r="L13" s="2"/>
      <c r="M13" s="2"/>
      <c r="N13" s="2"/>
      <c r="O13" s="19"/>
      <c r="P13" s="2"/>
      <c r="Q13" s="18"/>
      <c r="R13" s="18"/>
      <c r="S13" s="2"/>
      <c r="T13" s="2"/>
      <c r="U13" s="2"/>
      <c r="V13" s="19"/>
      <c r="W13" s="2"/>
      <c r="X13" s="18"/>
      <c r="Y13" s="18"/>
      <c r="Z13" s="2"/>
      <c r="AA13" s="2"/>
      <c r="AB13" s="2"/>
      <c r="AC13" s="19"/>
      <c r="AD13" s="2"/>
      <c r="AE13" s="18"/>
      <c r="AF13" s="18"/>
      <c r="AG13" s="2"/>
      <c r="AH13" s="2"/>
      <c r="AI13" s="11">
        <f t="shared" si="0"/>
        <v>0</v>
      </c>
      <c r="AJ13" s="12">
        <f t="shared" si="1"/>
        <v>0</v>
      </c>
      <c r="AK13" s="13">
        <f t="shared" si="2"/>
        <v>0</v>
      </c>
      <c r="AL13" s="14">
        <f t="shared" si="3"/>
        <v>0</v>
      </c>
      <c r="AM13" s="14">
        <f t="shared" si="4"/>
        <v>0</v>
      </c>
      <c r="AN13" s="15">
        <f t="shared" si="5"/>
        <v>0</v>
      </c>
      <c r="AO13" s="16">
        <f t="shared" si="6"/>
        <v>0</v>
      </c>
      <c r="AP13" s="17"/>
      <c r="AQ13" s="47"/>
      <c r="AR13" s="47"/>
      <c r="AS13" s="48"/>
      <c r="AT13" s="83"/>
      <c r="AU13" s="82"/>
      <c r="AV13" s="83">
        <f t="shared" si="7"/>
        <v>0</v>
      </c>
      <c r="AW13" s="84"/>
      <c r="AX13" s="48"/>
      <c r="AY13" s="50"/>
      <c r="AZ13" s="88">
        <v>12</v>
      </c>
    </row>
    <row r="14" spans="1:52" ht="27.75" customHeight="1" x14ac:dyDescent="0.2">
      <c r="A14" s="2"/>
      <c r="B14" s="2"/>
      <c r="C14" s="2"/>
      <c r="D14" s="2"/>
      <c r="E14" s="5"/>
      <c r="F14" s="2"/>
      <c r="G14" s="2"/>
      <c r="H14" s="19"/>
      <c r="I14" s="2"/>
      <c r="J14" s="18"/>
      <c r="K14" s="18"/>
      <c r="L14" s="2"/>
      <c r="M14" s="2"/>
      <c r="N14" s="2"/>
      <c r="O14" s="19"/>
      <c r="P14" s="2"/>
      <c r="Q14" s="18"/>
      <c r="R14" s="18"/>
      <c r="S14" s="2"/>
      <c r="T14" s="2"/>
      <c r="U14" s="2"/>
      <c r="V14" s="19"/>
      <c r="W14" s="2"/>
      <c r="X14" s="18"/>
      <c r="Y14" s="18"/>
      <c r="Z14" s="2"/>
      <c r="AA14" s="2"/>
      <c r="AB14" s="2"/>
      <c r="AC14" s="19"/>
      <c r="AD14" s="2"/>
      <c r="AE14" s="18"/>
      <c r="AF14" s="18"/>
      <c r="AG14" s="2"/>
      <c r="AH14" s="2"/>
      <c r="AI14" s="11">
        <f t="shared" si="0"/>
        <v>0</v>
      </c>
      <c r="AJ14" s="12">
        <f t="shared" si="1"/>
        <v>0</v>
      </c>
      <c r="AK14" s="13">
        <f t="shared" si="2"/>
        <v>0</v>
      </c>
      <c r="AL14" s="14">
        <f t="shared" si="3"/>
        <v>0</v>
      </c>
      <c r="AM14" s="14">
        <f t="shared" si="4"/>
        <v>0</v>
      </c>
      <c r="AN14" s="15">
        <f t="shared" si="5"/>
        <v>0</v>
      </c>
      <c r="AO14" s="16">
        <f t="shared" si="6"/>
        <v>0</v>
      </c>
      <c r="AP14" s="17"/>
      <c r="AQ14" s="46"/>
      <c r="AR14" s="47"/>
      <c r="AS14" s="48"/>
      <c r="AT14" s="83"/>
      <c r="AU14" s="82"/>
      <c r="AV14" s="83">
        <f t="shared" si="7"/>
        <v>0</v>
      </c>
      <c r="AW14" s="84"/>
      <c r="AX14" s="48"/>
      <c r="AY14" s="50"/>
      <c r="AZ14" s="88">
        <v>13</v>
      </c>
    </row>
    <row r="15" spans="1:52" ht="27.75" customHeight="1" x14ac:dyDescent="0.2">
      <c r="A15" s="2"/>
      <c r="B15" s="2"/>
      <c r="C15" s="2"/>
      <c r="D15" s="2"/>
      <c r="E15" s="5"/>
      <c r="F15" s="2"/>
      <c r="G15" s="2"/>
      <c r="H15" s="19"/>
      <c r="I15" s="2"/>
      <c r="J15" s="18"/>
      <c r="K15" s="18"/>
      <c r="L15" s="2"/>
      <c r="M15" s="2"/>
      <c r="N15" s="2"/>
      <c r="O15" s="19"/>
      <c r="P15" s="2"/>
      <c r="Q15" s="18"/>
      <c r="R15" s="18"/>
      <c r="S15" s="2"/>
      <c r="T15" s="2"/>
      <c r="U15" s="2"/>
      <c r="V15" s="19"/>
      <c r="W15" s="2"/>
      <c r="X15" s="18"/>
      <c r="Y15" s="18"/>
      <c r="Z15" s="2"/>
      <c r="AA15" s="2"/>
      <c r="AB15" s="2"/>
      <c r="AC15" s="19"/>
      <c r="AD15" s="2"/>
      <c r="AE15" s="18"/>
      <c r="AF15" s="18"/>
      <c r="AG15" s="2"/>
      <c r="AH15" s="2"/>
      <c r="AI15" s="11">
        <f t="shared" si="0"/>
        <v>0</v>
      </c>
      <c r="AJ15" s="12">
        <f t="shared" si="1"/>
        <v>0</v>
      </c>
      <c r="AK15" s="13">
        <f t="shared" si="2"/>
        <v>0</v>
      </c>
      <c r="AL15" s="14">
        <f t="shared" si="3"/>
        <v>0</v>
      </c>
      <c r="AM15" s="14">
        <f t="shared" si="4"/>
        <v>0</v>
      </c>
      <c r="AN15" s="15">
        <f t="shared" si="5"/>
        <v>0</v>
      </c>
      <c r="AO15" s="16">
        <f t="shared" si="6"/>
        <v>0</v>
      </c>
      <c r="AP15" s="17"/>
      <c r="AQ15" s="46"/>
      <c r="AR15" s="47"/>
      <c r="AS15" s="48"/>
      <c r="AT15" s="83"/>
      <c r="AU15" s="82"/>
      <c r="AV15" s="83">
        <f t="shared" si="7"/>
        <v>0</v>
      </c>
      <c r="AW15" s="84"/>
      <c r="AX15" s="48"/>
      <c r="AY15" s="50"/>
      <c r="AZ15" s="88">
        <v>14</v>
      </c>
    </row>
    <row r="16" spans="1:52" ht="27.75" customHeight="1" x14ac:dyDescent="0.2">
      <c r="A16" s="2"/>
      <c r="B16" s="2"/>
      <c r="C16" s="2"/>
      <c r="D16" s="2"/>
      <c r="E16" s="5"/>
      <c r="F16" s="2"/>
      <c r="G16" s="2"/>
      <c r="H16" s="19"/>
      <c r="I16" s="2"/>
      <c r="J16" s="18"/>
      <c r="K16" s="18"/>
      <c r="L16" s="2"/>
      <c r="M16" s="2"/>
      <c r="N16" s="2"/>
      <c r="O16" s="19"/>
      <c r="P16" s="2"/>
      <c r="Q16" s="18"/>
      <c r="R16" s="18"/>
      <c r="S16" s="2"/>
      <c r="T16" s="2"/>
      <c r="U16" s="2"/>
      <c r="V16" s="19"/>
      <c r="W16" s="2"/>
      <c r="X16" s="18"/>
      <c r="Y16" s="18"/>
      <c r="Z16" s="2"/>
      <c r="AA16" s="2"/>
      <c r="AB16" s="2"/>
      <c r="AC16" s="19"/>
      <c r="AD16" s="2"/>
      <c r="AE16" s="18"/>
      <c r="AF16" s="18"/>
      <c r="AG16" s="2"/>
      <c r="AH16" s="2"/>
      <c r="AI16" s="11">
        <f t="shared" si="0"/>
        <v>0</v>
      </c>
      <c r="AJ16" s="12">
        <f t="shared" si="1"/>
        <v>0</v>
      </c>
      <c r="AK16" s="13">
        <f t="shared" si="2"/>
        <v>0</v>
      </c>
      <c r="AL16" s="14">
        <f t="shared" si="3"/>
        <v>0</v>
      </c>
      <c r="AM16" s="14">
        <f t="shared" si="4"/>
        <v>0</v>
      </c>
      <c r="AN16" s="15">
        <f t="shared" si="5"/>
        <v>0</v>
      </c>
      <c r="AO16" s="16">
        <f t="shared" si="6"/>
        <v>0</v>
      </c>
      <c r="AP16" s="17"/>
      <c r="AQ16" s="46"/>
      <c r="AR16" s="47"/>
      <c r="AS16" s="48"/>
      <c r="AT16" s="83"/>
      <c r="AU16" s="82"/>
      <c r="AV16" s="83">
        <f t="shared" si="7"/>
        <v>0</v>
      </c>
      <c r="AW16" s="84"/>
      <c r="AX16" s="48"/>
      <c r="AY16" s="50"/>
      <c r="AZ16" s="88">
        <v>15</v>
      </c>
    </row>
    <row r="17" spans="1:52" ht="27.75" customHeight="1" x14ac:dyDescent="0.2">
      <c r="A17" s="2"/>
      <c r="B17" s="2"/>
      <c r="C17" s="2"/>
      <c r="D17" s="2"/>
      <c r="E17" s="5"/>
      <c r="F17" s="2"/>
      <c r="G17" s="2"/>
      <c r="H17" s="19"/>
      <c r="I17" s="2"/>
      <c r="J17" s="18"/>
      <c r="K17" s="18"/>
      <c r="L17" s="2"/>
      <c r="M17" s="2"/>
      <c r="N17" s="2"/>
      <c r="O17" s="19"/>
      <c r="P17" s="2"/>
      <c r="Q17" s="18"/>
      <c r="R17" s="18"/>
      <c r="S17" s="2"/>
      <c r="T17" s="2"/>
      <c r="U17" s="2"/>
      <c r="V17" s="19"/>
      <c r="W17" s="2"/>
      <c r="X17" s="18"/>
      <c r="Y17" s="18"/>
      <c r="Z17" s="2"/>
      <c r="AA17" s="2"/>
      <c r="AB17" s="2"/>
      <c r="AC17" s="19"/>
      <c r="AD17" s="2"/>
      <c r="AE17" s="18"/>
      <c r="AF17" s="18"/>
      <c r="AG17" s="2"/>
      <c r="AH17" s="2"/>
      <c r="AI17" s="11">
        <f t="shared" si="0"/>
        <v>0</v>
      </c>
      <c r="AJ17" s="12">
        <f t="shared" si="1"/>
        <v>0</v>
      </c>
      <c r="AK17" s="13">
        <f t="shared" si="2"/>
        <v>0</v>
      </c>
      <c r="AL17" s="14">
        <f t="shared" si="3"/>
        <v>0</v>
      </c>
      <c r="AM17" s="14">
        <f t="shared" si="4"/>
        <v>0</v>
      </c>
      <c r="AN17" s="15">
        <f t="shared" si="5"/>
        <v>0</v>
      </c>
      <c r="AO17" s="16">
        <f t="shared" si="6"/>
        <v>0</v>
      </c>
      <c r="AP17" s="17"/>
      <c r="AQ17" s="46"/>
      <c r="AR17" s="47"/>
      <c r="AS17" s="48"/>
      <c r="AT17" s="83"/>
      <c r="AU17" s="82"/>
      <c r="AV17" s="83">
        <f t="shared" si="7"/>
        <v>0</v>
      </c>
      <c r="AW17" s="84"/>
      <c r="AX17" s="48"/>
      <c r="AY17" s="50"/>
      <c r="AZ17" s="88">
        <v>16</v>
      </c>
    </row>
    <row r="18" spans="1:52" ht="27.75" customHeight="1" x14ac:dyDescent="0.2">
      <c r="A18" s="2"/>
      <c r="B18" s="2"/>
      <c r="C18" s="2"/>
      <c r="D18" s="2"/>
      <c r="E18" s="5"/>
      <c r="F18" s="2"/>
      <c r="G18" s="2"/>
      <c r="H18" s="19"/>
      <c r="I18" s="2"/>
      <c r="J18" s="18"/>
      <c r="K18" s="18"/>
      <c r="L18" s="2"/>
      <c r="M18" s="2"/>
      <c r="N18" s="2"/>
      <c r="O18" s="19"/>
      <c r="P18" s="2"/>
      <c r="Q18" s="18"/>
      <c r="R18" s="18"/>
      <c r="S18" s="2"/>
      <c r="T18" s="2"/>
      <c r="U18" s="2"/>
      <c r="V18" s="19"/>
      <c r="W18" s="2"/>
      <c r="X18" s="18"/>
      <c r="Y18" s="18"/>
      <c r="Z18" s="2"/>
      <c r="AA18" s="2"/>
      <c r="AB18" s="2"/>
      <c r="AC18" s="19"/>
      <c r="AD18" s="2"/>
      <c r="AE18" s="18"/>
      <c r="AF18" s="18"/>
      <c r="AG18" s="2"/>
      <c r="AH18" s="2"/>
      <c r="AI18" s="11">
        <f t="shared" si="0"/>
        <v>0</v>
      </c>
      <c r="AJ18" s="12">
        <f t="shared" si="1"/>
        <v>0</v>
      </c>
      <c r="AK18" s="13">
        <f t="shared" si="2"/>
        <v>0</v>
      </c>
      <c r="AL18" s="14">
        <f t="shared" si="3"/>
        <v>0</v>
      </c>
      <c r="AM18" s="14">
        <f t="shared" si="4"/>
        <v>0</v>
      </c>
      <c r="AN18" s="15">
        <f t="shared" si="5"/>
        <v>0</v>
      </c>
      <c r="AO18" s="16">
        <f t="shared" si="6"/>
        <v>0</v>
      </c>
      <c r="AP18" s="17"/>
      <c r="AQ18" s="47"/>
      <c r="AR18" s="47"/>
      <c r="AS18" s="48"/>
      <c r="AT18" s="83"/>
      <c r="AU18" s="82"/>
      <c r="AV18" s="83">
        <f t="shared" si="7"/>
        <v>0</v>
      </c>
      <c r="AW18" s="84"/>
      <c r="AX18" s="48"/>
      <c r="AY18" s="50"/>
      <c r="AZ18" s="88">
        <v>17</v>
      </c>
    </row>
    <row r="19" spans="1:52" ht="27.75" customHeight="1" x14ac:dyDescent="0.2">
      <c r="A19" s="2"/>
      <c r="B19" s="2"/>
      <c r="C19" s="2"/>
      <c r="D19" s="2"/>
      <c r="E19" s="5"/>
      <c r="F19" s="2"/>
      <c r="G19" s="2"/>
      <c r="H19" s="19"/>
      <c r="I19" s="2"/>
      <c r="J19" s="18"/>
      <c r="K19" s="18"/>
      <c r="L19" s="2"/>
      <c r="M19" s="2"/>
      <c r="N19" s="2"/>
      <c r="O19" s="19"/>
      <c r="P19" s="2"/>
      <c r="Q19" s="18"/>
      <c r="R19" s="18"/>
      <c r="S19" s="2"/>
      <c r="T19" s="2"/>
      <c r="U19" s="2"/>
      <c r="V19" s="19"/>
      <c r="W19" s="2"/>
      <c r="X19" s="18"/>
      <c r="Y19" s="18"/>
      <c r="Z19" s="2"/>
      <c r="AA19" s="2"/>
      <c r="AB19" s="2"/>
      <c r="AC19" s="19"/>
      <c r="AD19" s="2"/>
      <c r="AE19" s="18"/>
      <c r="AF19" s="18"/>
      <c r="AG19" s="2"/>
      <c r="AH19" s="2"/>
      <c r="AI19" s="11">
        <f t="shared" si="0"/>
        <v>0</v>
      </c>
      <c r="AJ19" s="12">
        <f t="shared" si="1"/>
        <v>0</v>
      </c>
      <c r="AK19" s="13">
        <f t="shared" si="2"/>
        <v>0</v>
      </c>
      <c r="AL19" s="14">
        <f t="shared" si="3"/>
        <v>0</v>
      </c>
      <c r="AM19" s="14">
        <f t="shared" si="4"/>
        <v>0</v>
      </c>
      <c r="AN19" s="15">
        <f t="shared" si="5"/>
        <v>0</v>
      </c>
      <c r="AO19" s="16">
        <f t="shared" si="6"/>
        <v>0</v>
      </c>
      <c r="AP19" s="17"/>
      <c r="AQ19" s="47"/>
      <c r="AR19" s="47"/>
      <c r="AS19" s="48"/>
      <c r="AT19" s="83"/>
      <c r="AU19" s="82"/>
      <c r="AV19" s="83">
        <f t="shared" si="7"/>
        <v>0</v>
      </c>
      <c r="AW19" s="84"/>
      <c r="AX19" s="48"/>
      <c r="AY19" s="50"/>
      <c r="AZ19" s="88">
        <v>18</v>
      </c>
    </row>
    <row r="20" spans="1:52" s="42" customFormat="1" ht="27.75" customHeight="1" x14ac:dyDescent="0.2">
      <c r="A20" s="2"/>
      <c r="B20" s="2"/>
      <c r="C20" s="2"/>
      <c r="D20" s="2"/>
      <c r="E20" s="5"/>
      <c r="F20" s="2"/>
      <c r="G20" s="2"/>
      <c r="H20" s="19"/>
      <c r="I20" s="2"/>
      <c r="J20" s="18"/>
      <c r="K20" s="18"/>
      <c r="L20" s="2"/>
      <c r="M20" s="2"/>
      <c r="N20" s="2"/>
      <c r="O20" s="19"/>
      <c r="P20" s="2"/>
      <c r="Q20" s="18"/>
      <c r="R20" s="18"/>
      <c r="S20" s="2"/>
      <c r="T20" s="2"/>
      <c r="U20" s="2"/>
      <c r="V20" s="19"/>
      <c r="W20" s="2"/>
      <c r="X20" s="18"/>
      <c r="Y20" s="18"/>
      <c r="Z20" s="2"/>
      <c r="AA20" s="2"/>
      <c r="AB20" s="2"/>
      <c r="AC20" s="19"/>
      <c r="AD20" s="2"/>
      <c r="AE20" s="18"/>
      <c r="AF20" s="18"/>
      <c r="AG20" s="2"/>
      <c r="AH20" s="2"/>
      <c r="AI20" s="11">
        <f t="shared" si="0"/>
        <v>0</v>
      </c>
      <c r="AJ20" s="12">
        <f t="shared" si="1"/>
        <v>0</v>
      </c>
      <c r="AK20" s="13">
        <f t="shared" si="2"/>
        <v>0</v>
      </c>
      <c r="AL20" s="14">
        <f t="shared" si="3"/>
        <v>0</v>
      </c>
      <c r="AM20" s="14">
        <f t="shared" si="4"/>
        <v>0</v>
      </c>
      <c r="AN20" s="15">
        <f t="shared" si="5"/>
        <v>0</v>
      </c>
      <c r="AO20" s="16">
        <f t="shared" si="6"/>
        <v>0</v>
      </c>
      <c r="AP20" s="17"/>
      <c r="AQ20" s="47"/>
      <c r="AR20" s="47"/>
      <c r="AS20" s="48"/>
      <c r="AT20" s="83"/>
      <c r="AU20" s="82"/>
      <c r="AV20" s="83">
        <f t="shared" si="7"/>
        <v>0</v>
      </c>
      <c r="AW20" s="84"/>
      <c r="AX20" s="48"/>
      <c r="AY20" s="50"/>
      <c r="AZ20" s="88"/>
    </row>
    <row r="21" spans="1:52" ht="27.75" customHeight="1" thickBot="1" x14ac:dyDescent="0.25">
      <c r="A21" s="2"/>
      <c r="B21" s="2"/>
      <c r="C21" s="2"/>
      <c r="D21" s="2"/>
      <c r="E21" s="5"/>
      <c r="F21" s="2"/>
      <c r="G21" s="2"/>
      <c r="H21" s="19"/>
      <c r="I21" s="2"/>
      <c r="J21" s="18"/>
      <c r="K21" s="18"/>
      <c r="L21" s="2"/>
      <c r="M21" s="2"/>
      <c r="N21" s="2"/>
      <c r="O21" s="19"/>
      <c r="P21" s="2"/>
      <c r="Q21" s="18"/>
      <c r="R21" s="18"/>
      <c r="S21" s="2"/>
      <c r="T21" s="2"/>
      <c r="U21" s="2"/>
      <c r="V21" s="19"/>
      <c r="W21" s="2"/>
      <c r="X21" s="18"/>
      <c r="Y21" s="18"/>
      <c r="Z21" s="2"/>
      <c r="AA21" s="2"/>
      <c r="AB21" s="2"/>
      <c r="AC21" s="19"/>
      <c r="AD21" s="2"/>
      <c r="AE21" s="18"/>
      <c r="AF21" s="18"/>
      <c r="AG21" s="2"/>
      <c r="AH21" s="2"/>
      <c r="AI21" s="11">
        <f t="shared" si="0"/>
        <v>0</v>
      </c>
      <c r="AJ21" s="12">
        <f t="shared" si="1"/>
        <v>0</v>
      </c>
      <c r="AK21" s="13">
        <f t="shared" si="2"/>
        <v>0</v>
      </c>
      <c r="AL21" s="14">
        <f t="shared" si="3"/>
        <v>0</v>
      </c>
      <c r="AM21" s="14">
        <f t="shared" si="4"/>
        <v>0</v>
      </c>
      <c r="AN21" s="15">
        <f t="shared" si="5"/>
        <v>0</v>
      </c>
      <c r="AO21" s="16">
        <f t="shared" si="6"/>
        <v>0</v>
      </c>
      <c r="AP21" s="17"/>
      <c r="AQ21" s="47"/>
      <c r="AR21" s="47"/>
      <c r="AS21" s="48"/>
      <c r="AT21" s="83"/>
      <c r="AU21" s="82"/>
      <c r="AV21" s="83">
        <f t="shared" si="7"/>
        <v>0</v>
      </c>
      <c r="AW21" s="84"/>
      <c r="AX21" s="48"/>
      <c r="AY21" s="50"/>
      <c r="AZ21" s="88"/>
    </row>
    <row r="22" spans="1:52" ht="18" thickBot="1" x14ac:dyDescent="0.25">
      <c r="M22" s="22" t="s">
        <v>46</v>
      </c>
      <c r="N22" s="23" t="s">
        <v>47</v>
      </c>
    </row>
    <row r="23" spans="1:52" ht="19.5" thickBot="1" x14ac:dyDescent="0.25">
      <c r="L23" s="24"/>
      <c r="M23" s="25">
        <v>1</v>
      </c>
      <c r="N23" s="25">
        <f>B2</f>
        <v>0</v>
      </c>
      <c r="AL23" s="43"/>
    </row>
    <row r="24" spans="1:52" ht="24.75" thickBot="1" x14ac:dyDescent="0.3">
      <c r="D24" s="20" t="s">
        <v>45</v>
      </c>
      <c r="L24" s="26"/>
      <c r="M24" s="16">
        <v>2</v>
      </c>
      <c r="N24" s="16">
        <f t="shared" ref="N24:N25" si="8">B3</f>
        <v>0</v>
      </c>
      <c r="P24" s="51" t="s">
        <v>35</v>
      </c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1" t="s">
        <v>35</v>
      </c>
      <c r="AE24" s="52"/>
      <c r="AF24" s="53"/>
      <c r="AP24" s="54" t="s">
        <v>50</v>
      </c>
      <c r="AQ24" s="55">
        <f t="shared" ref="AQ24:AQ33" si="9">COUNTIF(AK$2:AK$19,AP24)</f>
        <v>0</v>
      </c>
    </row>
    <row r="25" spans="1:52" ht="21.75" thickBot="1" x14ac:dyDescent="0.25">
      <c r="D25" s="89"/>
      <c r="L25" s="27"/>
      <c r="M25" s="28">
        <v>3</v>
      </c>
      <c r="N25" s="28">
        <f t="shared" si="8"/>
        <v>0</v>
      </c>
      <c r="P25" s="56" t="s">
        <v>36</v>
      </c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7"/>
      <c r="AP25" s="58" t="s">
        <v>51</v>
      </c>
      <c r="AQ25" s="59">
        <f t="shared" si="9"/>
        <v>0</v>
      </c>
    </row>
    <row r="26" spans="1:52" ht="21.75" thickBot="1" x14ac:dyDescent="0.25">
      <c r="D26" s="89"/>
      <c r="L26" s="29"/>
      <c r="M26" s="25">
        <v>16</v>
      </c>
      <c r="N26" s="25">
        <f>B17</f>
        <v>0</v>
      </c>
      <c r="P26" s="60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61" t="s">
        <v>37</v>
      </c>
      <c r="AE26" s="52"/>
      <c r="AF26" s="53"/>
      <c r="AP26" s="58" t="s">
        <v>52</v>
      </c>
      <c r="AQ26" s="59">
        <f t="shared" si="9"/>
        <v>0</v>
      </c>
    </row>
    <row r="27" spans="1:52" ht="21.75" thickBot="1" x14ac:dyDescent="0.25">
      <c r="D27" s="89"/>
      <c r="L27" s="30"/>
      <c r="M27" s="16">
        <v>17</v>
      </c>
      <c r="N27" s="16">
        <f t="shared" ref="N27:N28" si="10">B18</f>
        <v>0</v>
      </c>
      <c r="P27" s="61" t="s">
        <v>37</v>
      </c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7"/>
      <c r="AP27" s="58" t="s">
        <v>53</v>
      </c>
      <c r="AQ27" s="59">
        <f t="shared" si="9"/>
        <v>0</v>
      </c>
    </row>
    <row r="28" spans="1:52" ht="21.75" thickBot="1" x14ac:dyDescent="0.25">
      <c r="L28" s="30"/>
      <c r="M28" s="28">
        <v>18</v>
      </c>
      <c r="N28" s="28">
        <f t="shared" si="10"/>
        <v>0</v>
      </c>
      <c r="P28" s="60" t="s">
        <v>38</v>
      </c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7"/>
      <c r="AP28" s="58" t="s">
        <v>54</v>
      </c>
      <c r="AQ28" s="59">
        <f t="shared" si="9"/>
        <v>0</v>
      </c>
    </row>
    <row r="29" spans="1:52" ht="21.75" thickBot="1" x14ac:dyDescent="0.25">
      <c r="L29" s="31"/>
      <c r="M29" s="25">
        <v>4</v>
      </c>
      <c r="N29" s="25">
        <f>B5</f>
        <v>0</v>
      </c>
      <c r="P29" s="60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62"/>
      <c r="AD29" s="62"/>
      <c r="AE29" s="62"/>
      <c r="AF29" s="57"/>
      <c r="AG29" s="63"/>
      <c r="AH29" s="63"/>
      <c r="AI29" s="63"/>
      <c r="AJ29" s="63"/>
      <c r="AP29" s="64" t="s">
        <v>55</v>
      </c>
      <c r="AQ29" s="65">
        <f t="shared" si="9"/>
        <v>0</v>
      </c>
      <c r="AR29" s="21">
        <f>SUM(AQ24:AQ29)</f>
        <v>0</v>
      </c>
    </row>
    <row r="30" spans="1:52" ht="21.75" thickBot="1" x14ac:dyDescent="0.25">
      <c r="L30" s="32"/>
      <c r="M30" s="16">
        <v>5</v>
      </c>
      <c r="N30" s="16">
        <f t="shared" ref="N30:N31" si="11">B6</f>
        <v>0</v>
      </c>
      <c r="P30" s="61" t="s">
        <v>39</v>
      </c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62"/>
      <c r="AD30" s="61" t="s">
        <v>39</v>
      </c>
      <c r="AE30" s="62"/>
      <c r="AF30" s="53"/>
      <c r="AG30" s="63"/>
      <c r="AH30" s="63"/>
      <c r="AI30" s="63"/>
      <c r="AJ30" s="63"/>
      <c r="AP30" s="66" t="s">
        <v>56</v>
      </c>
      <c r="AQ30" s="67">
        <f t="shared" si="9"/>
        <v>0</v>
      </c>
    </row>
    <row r="31" spans="1:52" ht="21.75" thickBot="1" x14ac:dyDescent="0.25">
      <c r="L31" s="32"/>
      <c r="M31" s="16">
        <v>6</v>
      </c>
      <c r="N31" s="16">
        <f t="shared" si="11"/>
        <v>0</v>
      </c>
      <c r="P31" s="60" t="s">
        <v>40</v>
      </c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62"/>
      <c r="AD31" s="62"/>
      <c r="AE31" s="62"/>
      <c r="AF31" s="53"/>
      <c r="AG31" s="63"/>
      <c r="AH31" s="63"/>
      <c r="AI31" s="63"/>
      <c r="AJ31" s="63"/>
      <c r="AP31" s="58" t="s">
        <v>57</v>
      </c>
      <c r="AQ31" s="59">
        <f t="shared" si="9"/>
        <v>0</v>
      </c>
    </row>
    <row r="32" spans="1:52" ht="21.75" thickBot="1" x14ac:dyDescent="0.25">
      <c r="L32" s="32"/>
      <c r="M32" s="16">
        <v>11</v>
      </c>
      <c r="N32" s="16">
        <f>B12</f>
        <v>0</v>
      </c>
      <c r="P32" s="60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62"/>
      <c r="AD32" s="62"/>
      <c r="AE32" s="62"/>
      <c r="AF32" s="57"/>
      <c r="AG32" s="63"/>
      <c r="AH32" s="63"/>
      <c r="AI32" s="63"/>
      <c r="AJ32" s="63"/>
      <c r="AP32" s="58" t="s">
        <v>58</v>
      </c>
      <c r="AQ32" s="59">
        <f t="shared" si="9"/>
        <v>0</v>
      </c>
    </row>
    <row r="33" spans="3:51" ht="21.75" thickBot="1" x14ac:dyDescent="0.25">
      <c r="L33" s="33"/>
      <c r="M33" s="34">
        <v>12</v>
      </c>
      <c r="N33" s="34">
        <f t="shared" ref="N33:N34" si="12">B13</f>
        <v>0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7"/>
      <c r="AP33" s="68" t="s">
        <v>59</v>
      </c>
      <c r="AQ33" s="69">
        <f t="shared" si="9"/>
        <v>0</v>
      </c>
      <c r="AR33" s="21">
        <f>SUM(AQ30:AQ33)</f>
        <v>0</v>
      </c>
    </row>
    <row r="34" spans="3:51" ht="21.75" thickBot="1" x14ac:dyDescent="0.25">
      <c r="L34" s="35"/>
      <c r="M34" s="28">
        <v>13</v>
      </c>
      <c r="N34" s="28">
        <f t="shared" si="12"/>
        <v>0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7"/>
      <c r="AP34" s="70" t="s">
        <v>60</v>
      </c>
      <c r="AQ34" s="71">
        <f>SUM(AQ24:AQ33)</f>
        <v>0</v>
      </c>
    </row>
    <row r="35" spans="3:51" ht="19.5" thickBot="1" x14ac:dyDescent="0.25">
      <c r="L35" s="36"/>
      <c r="M35" s="37">
        <v>7</v>
      </c>
      <c r="N35" s="37">
        <f>B8</f>
        <v>0</v>
      </c>
      <c r="P35" s="61" t="s">
        <v>41</v>
      </c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61" t="s">
        <v>41</v>
      </c>
      <c r="AE35" s="52"/>
      <c r="AF35" s="53"/>
    </row>
    <row r="36" spans="3:51" ht="19.5" thickBot="1" x14ac:dyDescent="0.25">
      <c r="L36" s="38"/>
      <c r="M36" s="34">
        <v>8</v>
      </c>
      <c r="N36" s="34">
        <f t="shared" ref="N36:N38" si="13">B9</f>
        <v>0</v>
      </c>
      <c r="P36" s="60" t="s">
        <v>42</v>
      </c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3"/>
    </row>
    <row r="37" spans="3:51" ht="19.5" thickBot="1" x14ac:dyDescent="0.25">
      <c r="L37" s="39"/>
      <c r="M37" s="16">
        <v>9</v>
      </c>
      <c r="N37" s="16">
        <f t="shared" si="13"/>
        <v>0</v>
      </c>
      <c r="P37" s="60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7"/>
    </row>
    <row r="38" spans="3:51" ht="19.5" thickBot="1" x14ac:dyDescent="0.25">
      <c r="L38" s="40"/>
      <c r="M38" s="41">
        <v>10</v>
      </c>
      <c r="N38" s="41">
        <f t="shared" si="13"/>
        <v>0</v>
      </c>
      <c r="P38" s="61" t="s">
        <v>43</v>
      </c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7"/>
    </row>
    <row r="39" spans="3:51" ht="17.25" x14ac:dyDescent="0.15">
      <c r="P39" s="60" t="s">
        <v>44</v>
      </c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</row>
    <row r="40" spans="3:51" ht="13.5" customHeight="1" x14ac:dyDescent="0.15">
      <c r="C40" s="93" t="s">
        <v>61</v>
      </c>
      <c r="D40" s="94"/>
      <c r="E40" s="95"/>
      <c r="AU40" s="72"/>
      <c r="AY40" s="72"/>
    </row>
    <row r="41" spans="3:51" ht="14.25" customHeight="1" x14ac:dyDescent="0.15">
      <c r="C41" s="96"/>
      <c r="D41" s="97"/>
      <c r="E41" s="98"/>
      <c r="AU41" s="72"/>
      <c r="AY41" s="72"/>
    </row>
    <row r="42" spans="3:51" ht="20.25" customHeight="1" x14ac:dyDescent="0.15">
      <c r="C42" s="73"/>
      <c r="D42" s="99" t="s">
        <v>62</v>
      </c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1"/>
      <c r="P42" s="99" t="s">
        <v>63</v>
      </c>
      <c r="Q42" s="100"/>
      <c r="R42" s="100"/>
      <c r="S42" s="100"/>
      <c r="T42" s="100"/>
      <c r="U42" s="100"/>
      <c r="V42" s="100"/>
      <c r="W42" s="100"/>
      <c r="X42" s="100"/>
      <c r="Y42" s="100"/>
      <c r="Z42" s="101"/>
      <c r="AA42" s="74" t="s">
        <v>64</v>
      </c>
      <c r="AU42" s="72"/>
      <c r="AY42" s="72"/>
    </row>
    <row r="43" spans="3:51" ht="20.25" customHeight="1" x14ac:dyDescent="0.2">
      <c r="C43" s="75">
        <v>1</v>
      </c>
      <c r="D43" s="90" t="s">
        <v>65</v>
      </c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2"/>
      <c r="P43" s="90" t="s">
        <v>66</v>
      </c>
      <c r="Q43" s="91"/>
      <c r="R43" s="91"/>
      <c r="S43" s="91"/>
      <c r="T43" s="91"/>
      <c r="U43" s="91"/>
      <c r="V43" s="91"/>
      <c r="W43" s="91"/>
      <c r="X43" s="91"/>
      <c r="Y43" s="91"/>
      <c r="Z43" s="92"/>
      <c r="AA43" s="76"/>
      <c r="AU43" s="72"/>
      <c r="AY43" s="72"/>
    </row>
    <row r="44" spans="3:51" ht="20.25" customHeight="1" x14ac:dyDescent="0.2">
      <c r="C44" s="75">
        <v>2</v>
      </c>
      <c r="D44" s="90" t="s">
        <v>67</v>
      </c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2"/>
      <c r="P44" s="90" t="s">
        <v>68</v>
      </c>
      <c r="Q44" s="91"/>
      <c r="R44" s="91"/>
      <c r="S44" s="91"/>
      <c r="T44" s="91"/>
      <c r="U44" s="91"/>
      <c r="V44" s="91"/>
      <c r="W44" s="91"/>
      <c r="X44" s="91"/>
      <c r="Y44" s="91"/>
      <c r="Z44" s="92"/>
      <c r="AA44" s="76"/>
      <c r="AU44" s="72"/>
      <c r="AY44" s="72"/>
    </row>
    <row r="45" spans="3:51" ht="20.25" customHeight="1" x14ac:dyDescent="0.2">
      <c r="C45" s="75">
        <v>3</v>
      </c>
      <c r="D45" s="90" t="s">
        <v>69</v>
      </c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2"/>
      <c r="P45" s="90" t="s">
        <v>70</v>
      </c>
      <c r="Q45" s="91"/>
      <c r="R45" s="91"/>
      <c r="S45" s="91"/>
      <c r="T45" s="91"/>
      <c r="U45" s="91"/>
      <c r="V45" s="91"/>
      <c r="W45" s="91"/>
      <c r="X45" s="91"/>
      <c r="Y45" s="91"/>
      <c r="Z45" s="92"/>
      <c r="AA45" s="76"/>
      <c r="AU45" s="72"/>
      <c r="AY45" s="72"/>
    </row>
    <row r="46" spans="3:51" ht="20.25" customHeight="1" x14ac:dyDescent="0.2">
      <c r="C46" s="75">
        <v>4</v>
      </c>
      <c r="D46" s="90" t="s">
        <v>71</v>
      </c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2"/>
      <c r="P46" s="90" t="s">
        <v>72</v>
      </c>
      <c r="Q46" s="91"/>
      <c r="R46" s="91"/>
      <c r="S46" s="91"/>
      <c r="T46" s="91"/>
      <c r="U46" s="91"/>
      <c r="V46" s="91"/>
      <c r="W46" s="91"/>
      <c r="X46" s="91"/>
      <c r="Y46" s="91"/>
      <c r="Z46" s="92"/>
      <c r="AA46" s="76"/>
      <c r="AU46" s="72"/>
      <c r="AY46" s="72"/>
    </row>
    <row r="47" spans="3:51" ht="20.25" customHeight="1" x14ac:dyDescent="0.2">
      <c r="C47" s="75">
        <v>5</v>
      </c>
      <c r="D47" s="90" t="s">
        <v>73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2"/>
      <c r="P47" s="90" t="s">
        <v>74</v>
      </c>
      <c r="Q47" s="91"/>
      <c r="R47" s="91"/>
      <c r="S47" s="91"/>
      <c r="T47" s="91"/>
      <c r="U47" s="91"/>
      <c r="V47" s="91"/>
      <c r="W47" s="91"/>
      <c r="X47" s="91"/>
      <c r="Y47" s="91"/>
      <c r="Z47" s="92"/>
      <c r="AA47" s="76"/>
      <c r="AU47" s="72"/>
      <c r="AY47" s="72"/>
    </row>
    <row r="48" spans="3:51" ht="20.25" customHeight="1" x14ac:dyDescent="0.2">
      <c r="C48" s="75">
        <v>6</v>
      </c>
      <c r="D48" s="90" t="s">
        <v>75</v>
      </c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2"/>
      <c r="P48" s="90" t="s">
        <v>76</v>
      </c>
      <c r="Q48" s="91"/>
      <c r="R48" s="91"/>
      <c r="S48" s="91"/>
      <c r="T48" s="91"/>
      <c r="U48" s="91"/>
      <c r="V48" s="91"/>
      <c r="W48" s="91"/>
      <c r="X48" s="91"/>
      <c r="Y48" s="91"/>
      <c r="Z48" s="92"/>
      <c r="AA48" s="76"/>
      <c r="AU48" s="72"/>
      <c r="AY48" s="72"/>
    </row>
    <row r="49" spans="3:51" ht="20.25" customHeight="1" x14ac:dyDescent="0.2">
      <c r="C49" s="75">
        <v>7</v>
      </c>
      <c r="D49" s="90" t="s">
        <v>77</v>
      </c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2"/>
      <c r="P49" s="90" t="s">
        <v>78</v>
      </c>
      <c r="Q49" s="91"/>
      <c r="R49" s="91"/>
      <c r="S49" s="91"/>
      <c r="T49" s="91"/>
      <c r="U49" s="91"/>
      <c r="V49" s="91"/>
      <c r="W49" s="91"/>
      <c r="X49" s="91"/>
      <c r="Y49" s="91"/>
      <c r="Z49" s="92"/>
      <c r="AA49" s="76"/>
      <c r="AU49" s="72"/>
      <c r="AY49" s="72"/>
    </row>
    <row r="50" spans="3:51" ht="20.25" customHeight="1" x14ac:dyDescent="0.2">
      <c r="C50" s="75">
        <v>8</v>
      </c>
      <c r="D50" s="90" t="s">
        <v>79</v>
      </c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2"/>
      <c r="P50" s="90" t="s">
        <v>80</v>
      </c>
      <c r="Q50" s="91"/>
      <c r="R50" s="91"/>
      <c r="S50" s="91"/>
      <c r="T50" s="91"/>
      <c r="U50" s="91"/>
      <c r="V50" s="91"/>
      <c r="W50" s="91"/>
      <c r="X50" s="91"/>
      <c r="Y50" s="91"/>
      <c r="Z50" s="92"/>
      <c r="AA50" s="76"/>
      <c r="AU50" s="72"/>
      <c r="AY50" s="72"/>
    </row>
  </sheetData>
  <autoFilter ref="A1:AP1" xr:uid="{00000000-0001-0000-0000-000000000000}"/>
  <mergeCells count="19">
    <mergeCell ref="D48:O48"/>
    <mergeCell ref="P48:Z48"/>
    <mergeCell ref="D49:O49"/>
    <mergeCell ref="P49:Z49"/>
    <mergeCell ref="D50:O50"/>
    <mergeCell ref="P50:Z50"/>
    <mergeCell ref="D45:O45"/>
    <mergeCell ref="P45:Z45"/>
    <mergeCell ref="D46:O46"/>
    <mergeCell ref="P46:Z46"/>
    <mergeCell ref="D47:O47"/>
    <mergeCell ref="P47:Z47"/>
    <mergeCell ref="D44:O44"/>
    <mergeCell ref="P44:Z44"/>
    <mergeCell ref="C40:E41"/>
    <mergeCell ref="D42:O42"/>
    <mergeCell ref="P42:Z42"/>
    <mergeCell ref="D43:O43"/>
    <mergeCell ref="P43:Z43"/>
  </mergeCells>
  <phoneticPr fontId="2"/>
  <conditionalFormatting sqref="E2:E21">
    <cfRule type="containsText" dxfId="197" priority="29" operator="containsText" text="セ">
      <formula>NOT(ISERROR(SEARCH("セ",E2)))</formula>
    </cfRule>
    <cfRule type="containsText" dxfId="196" priority="28" operator="containsText" text="せん">
      <formula>NOT(ISERROR(SEARCH("せん",E2)))</formula>
    </cfRule>
    <cfRule type="containsText" dxfId="195" priority="30" operator="containsText" text="牝">
      <formula>NOT(ISERROR(SEARCH("牝",E2)))</formula>
    </cfRule>
  </conditionalFormatting>
  <conditionalFormatting sqref="H2:H21 O2:O21 V2:V21 AC2:AC21">
    <cfRule type="containsText" dxfId="194" priority="16" operator="containsText" text="中山">
      <formula>NOT(ISERROR(SEARCH("中山",H2)))</formula>
    </cfRule>
  </conditionalFormatting>
  <conditionalFormatting sqref="J2:J21 Q2:Q21 X2:X21 AE2:AE21">
    <cfRule type="cellIs" dxfId="193" priority="27" operator="equal">
      <formula>1</formula>
    </cfRule>
    <cfRule type="cellIs" dxfId="192" priority="26" operator="equal">
      <formula>2</formula>
    </cfRule>
    <cfRule type="cellIs" dxfId="191" priority="25" operator="between">
      <formula>3</formula>
      <formula>4</formula>
    </cfRule>
  </conditionalFormatting>
  <conditionalFormatting sqref="K2:K21 R2:R21 Y2:Y21 AF2:AF21">
    <cfRule type="cellIs" dxfId="190" priority="24" operator="lessThanOrEqual">
      <formula>0.6</formula>
    </cfRule>
  </conditionalFormatting>
  <conditionalFormatting sqref="AI2:AI21">
    <cfRule type="top10" dxfId="189" priority="12" bottom="1" rank="4"/>
  </conditionalFormatting>
  <conditionalFormatting sqref="AJ2:AJ21">
    <cfRule type="top10" dxfId="188" priority="23" bottom="1" rank="4"/>
  </conditionalFormatting>
  <conditionalFormatting sqref="AK2:AK21">
    <cfRule type="top10" dxfId="187" priority="21" rank="4"/>
  </conditionalFormatting>
  <conditionalFormatting sqref="AL23">
    <cfRule type="containsText" dxfId="186" priority="31" operator="containsText" text="先行">
      <formula>NOT(ISERROR(SEARCH("先行",AL23)))</formula>
    </cfRule>
    <cfRule type="containsText" dxfId="185" priority="32" operator="containsText" text="逃げ">
      <formula>NOT(ISERROR(SEARCH("逃げ",AL23)))</formula>
    </cfRule>
    <cfRule type="containsText" dxfId="184" priority="33" operator="containsText" text="先行差し">
      <formula>NOT(ISERROR(SEARCH("先行差し",AL23)))</formula>
    </cfRule>
  </conditionalFormatting>
  <conditionalFormatting sqref="AL2:AN18">
    <cfRule type="top10" dxfId="183" priority="20" rank="4"/>
  </conditionalFormatting>
  <conditionalFormatting sqref="AL19:AN19">
    <cfRule type="top10" dxfId="182" priority="15" rank="4"/>
  </conditionalFormatting>
  <conditionalFormatting sqref="AL20:AN20">
    <cfRule type="top10" dxfId="181" priority="14" rank="4"/>
  </conditionalFormatting>
  <conditionalFormatting sqref="AL21:AN21">
    <cfRule type="top10" dxfId="180" priority="13" rank="4"/>
  </conditionalFormatting>
  <conditionalFormatting sqref="AO2:AO21">
    <cfRule type="top10" dxfId="179" priority="22" rank="4"/>
  </conditionalFormatting>
  <conditionalFormatting sqref="AP2:AP21">
    <cfRule type="containsText" dxfId="178" priority="19" operator="containsText" text="先行差し">
      <formula>NOT(ISERROR(SEARCH("先行差し",AP2)))</formula>
    </cfRule>
    <cfRule type="containsText" dxfId="177" priority="17" operator="containsText" text="先行">
      <formula>NOT(ISERROR(SEARCH("先行",AP2)))</formula>
    </cfRule>
    <cfRule type="containsText" dxfId="176" priority="18" operator="containsText" text="逃げ">
      <formula>NOT(ISERROR(SEARCH("逃げ",AP2)))</formula>
    </cfRule>
  </conditionalFormatting>
  <conditionalFormatting sqref="AQ2:AQ9">
    <cfRule type="containsText" dxfId="175" priority="37" operator="containsText" text="先行差し">
      <formula>NOT(ISERROR(SEARCH("先行差し",AQ2)))</formula>
    </cfRule>
    <cfRule type="containsText" dxfId="174" priority="35" operator="containsText" text="先行">
      <formula>NOT(ISERROR(SEARCH("先行",AQ2)))</formula>
    </cfRule>
    <cfRule type="containsText" dxfId="173" priority="36" operator="containsText" text="逃げ">
      <formula>NOT(ISERROR(SEARCH("逃げ",AQ2)))</formula>
    </cfRule>
  </conditionalFormatting>
  <conditionalFormatting sqref="AQ2:AQ21">
    <cfRule type="top10" dxfId="172" priority="34" bottom="1" rank="4"/>
  </conditionalFormatting>
  <conditionalFormatting sqref="AR2:AR21">
    <cfRule type="top10" dxfId="171" priority="10" bottom="1" rank="4"/>
  </conditionalFormatting>
  <conditionalFormatting sqref="AS2:AS21">
    <cfRule type="containsText" dxfId="170" priority="8" operator="containsText" text="先行差し">
      <formula>NOT(ISERROR(SEARCH("先行差し",AS2)))</formula>
    </cfRule>
    <cfRule type="containsText" dxfId="169" priority="7" operator="containsText" text="逃げ">
      <formula>NOT(ISERROR(SEARCH("逃げ",AS2)))</formula>
    </cfRule>
    <cfRule type="containsText" dxfId="168" priority="6" operator="containsText" text="先行">
      <formula>NOT(ISERROR(SEARCH("先行",AS2)))</formula>
    </cfRule>
  </conditionalFormatting>
  <conditionalFormatting sqref="AT2:AT21">
    <cfRule type="cellIs" dxfId="167" priority="11" operator="greaterThanOrEqual">
      <formula>0.6</formula>
    </cfRule>
  </conditionalFormatting>
  <conditionalFormatting sqref="AU2:AU21">
    <cfRule type="top10" dxfId="166" priority="9" bottom="1" rank="4"/>
  </conditionalFormatting>
  <conditionalFormatting sqref="AV2:AV21">
    <cfRule type="top10" dxfId="165" priority="2" bottom="1" rank="4"/>
  </conditionalFormatting>
  <conditionalFormatting sqref="AV2:AX21">
    <cfRule type="containsText" dxfId="164" priority="5" operator="containsText" text="先行差し">
      <formula>NOT(ISERROR(SEARCH("先行差し",AV2)))</formula>
    </cfRule>
    <cfRule type="containsText" dxfId="163" priority="4" operator="containsText" text="逃げ">
      <formula>NOT(ISERROR(SEARCH("逃げ",AV2)))</formula>
    </cfRule>
    <cfRule type="containsText" dxfId="162" priority="3" operator="containsText" text="先行">
      <formula>NOT(ISERROR(SEARCH("先行",AV2)))</formula>
    </cfRule>
  </conditionalFormatting>
  <conditionalFormatting sqref="AX2:AX12">
    <cfRule type="containsText" dxfId="161" priority="1" operator="containsText" text="B">
      <formula>NOT(ISERROR(SEARCH("B",AX2)))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50"/>
  <sheetViews>
    <sheetView zoomScale="55" zoomScaleNormal="5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25" sqref="D25:D27"/>
    </sheetView>
  </sheetViews>
  <sheetFormatPr defaultRowHeight="13.5" x14ac:dyDescent="0.15"/>
  <cols>
    <col min="1" max="3" width="5.875" customWidth="1"/>
    <col min="4" max="4" width="17.25" customWidth="1"/>
    <col min="8" max="8" width="6.125" customWidth="1"/>
    <col min="9" max="9" width="7.375" customWidth="1"/>
    <col min="10" max="11" width="6.125" customWidth="1"/>
    <col min="12" max="12" width="12.25" customWidth="1"/>
    <col min="13" max="13" width="5.75" customWidth="1"/>
    <col min="16" max="16" width="7.875" customWidth="1"/>
    <col min="17" max="18" width="5.25" customWidth="1"/>
    <col min="19" max="19" width="11.5" customWidth="1"/>
    <col min="20" max="20" width="5.875" customWidth="1"/>
    <col min="22" max="22" width="6.5" customWidth="1"/>
    <col min="23" max="23" width="7.25" customWidth="1"/>
    <col min="24" max="25" width="6.375" customWidth="1"/>
    <col min="26" max="26" width="11" customWidth="1"/>
    <col min="27" max="27" width="5.75" customWidth="1"/>
    <col min="29" max="29" width="6" customWidth="1"/>
    <col min="30" max="30" width="7.75" customWidth="1"/>
    <col min="31" max="31" width="4.75" customWidth="1"/>
    <col min="32" max="32" width="5.75" customWidth="1"/>
    <col min="33" max="33" width="11" customWidth="1"/>
    <col min="34" max="34" width="6" customWidth="1"/>
    <col min="35" max="36" width="8" customWidth="1"/>
    <col min="37" max="40" width="5.25" customWidth="1"/>
    <col min="41" max="41" width="7" customWidth="1"/>
    <col min="42" max="42" width="11.875" customWidth="1"/>
  </cols>
  <sheetData>
    <row r="1" spans="1:52" ht="19.5" thickBot="1" x14ac:dyDescent="0.2">
      <c r="A1" s="3" t="s">
        <v>85</v>
      </c>
      <c r="B1" s="4" t="s">
        <v>0</v>
      </c>
      <c r="C1" s="4" t="s">
        <v>32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6" t="s">
        <v>33</v>
      </c>
      <c r="AJ1" s="7" t="s">
        <v>34</v>
      </c>
      <c r="AK1" s="6" t="s">
        <v>86</v>
      </c>
      <c r="AL1" s="8" t="s">
        <v>87</v>
      </c>
      <c r="AM1" s="8" t="s">
        <v>88</v>
      </c>
      <c r="AN1" s="7" t="s">
        <v>89</v>
      </c>
      <c r="AO1" s="9" t="s">
        <v>90</v>
      </c>
      <c r="AP1" s="10" t="s">
        <v>91</v>
      </c>
      <c r="AQ1" s="10" t="s">
        <v>48</v>
      </c>
      <c r="AR1" s="77" t="s">
        <v>92</v>
      </c>
      <c r="AS1" s="44" t="s">
        <v>93</v>
      </c>
      <c r="AT1" s="78" t="s">
        <v>94</v>
      </c>
      <c r="AU1" s="79" t="s">
        <v>95</v>
      </c>
      <c r="AV1" s="78" t="s">
        <v>34</v>
      </c>
      <c r="AW1" s="80" t="s">
        <v>96</v>
      </c>
      <c r="AX1" s="79"/>
      <c r="AY1" s="45" t="s">
        <v>49</v>
      </c>
      <c r="AZ1" s="87"/>
    </row>
    <row r="2" spans="1:52" ht="27.75" customHeight="1" x14ac:dyDescent="0.2">
      <c r="A2" s="2"/>
      <c r="B2" s="2"/>
      <c r="C2" s="2"/>
      <c r="D2" s="2"/>
      <c r="E2" s="5"/>
      <c r="F2" s="2"/>
      <c r="G2" s="2"/>
      <c r="H2" s="19"/>
      <c r="I2" s="2"/>
      <c r="J2" s="18"/>
      <c r="K2" s="18"/>
      <c r="L2" s="2"/>
      <c r="M2" s="2"/>
      <c r="N2" s="2"/>
      <c r="O2" s="19"/>
      <c r="P2" s="2"/>
      <c r="Q2" s="18"/>
      <c r="R2" s="18"/>
      <c r="S2" s="2"/>
      <c r="T2" s="2"/>
      <c r="U2" s="2"/>
      <c r="V2" s="19"/>
      <c r="W2" s="2"/>
      <c r="X2" s="18"/>
      <c r="Y2" s="18"/>
      <c r="Z2" s="2"/>
      <c r="AA2" s="2"/>
      <c r="AB2" s="2"/>
      <c r="AC2" s="19"/>
      <c r="AD2" s="2"/>
      <c r="AE2" s="18"/>
      <c r="AF2" s="18"/>
      <c r="AG2" s="2"/>
      <c r="AH2" s="2"/>
      <c r="AI2" s="11">
        <f t="shared" ref="AI2:AI21" si="0">MIN(AH2,AA2,T2,M2)</f>
        <v>0</v>
      </c>
      <c r="AJ2" s="12">
        <f t="shared" ref="AJ2:AJ21" si="1">SUM(K2,R2,Y2,AF2)</f>
        <v>0</v>
      </c>
      <c r="AK2" s="13">
        <f t="shared" ref="AK2:AK21" si="2">COUNTIF(AE2,1)+COUNTIF(X2,1)+COUNTIF(Q2,1)+COUNTIF(J2,1)</f>
        <v>0</v>
      </c>
      <c r="AL2" s="14">
        <f t="shared" ref="AL2:AL21" si="3">COUNTIF(AE2,2)+COUNTIF(X2,2)+COUNTIF(Q2,2)+COUNTIF(J2,2)</f>
        <v>0</v>
      </c>
      <c r="AM2" s="14">
        <f t="shared" ref="AM2:AM21" si="4">COUNTIF(AE2,3)+COUNTIF(X2,3)+COUNTIF(Q2,3)+COUNTIF(J2,3)</f>
        <v>0</v>
      </c>
      <c r="AN2" s="15">
        <f t="shared" ref="AN2:AN21" si="5">COUNTIF(AE2,4)+COUNTIF(X2,4)+COUNTIF(Q2,4)+COUNTIF(J2,4)</f>
        <v>0</v>
      </c>
      <c r="AO2" s="16">
        <f t="shared" ref="AO2:AO21" si="6">SUM(AK2:AN2)</f>
        <v>0</v>
      </c>
      <c r="AP2" s="17"/>
      <c r="AQ2" s="46"/>
      <c r="AR2" s="47"/>
      <c r="AS2" s="48"/>
      <c r="AT2" s="81"/>
      <c r="AU2" s="82"/>
      <c r="AV2" s="83">
        <f t="shared" ref="AV2:AV21" si="7">SUM(J2,Q2,X2,AE2)</f>
        <v>0</v>
      </c>
      <c r="AW2" s="84"/>
      <c r="AX2" s="85"/>
      <c r="AY2" s="49"/>
      <c r="AZ2" s="88">
        <v>1</v>
      </c>
    </row>
    <row r="3" spans="1:52" ht="27.75" customHeight="1" x14ac:dyDescent="0.2">
      <c r="A3" s="2"/>
      <c r="B3" s="2"/>
      <c r="C3" s="2"/>
      <c r="D3" s="2"/>
      <c r="E3" s="5"/>
      <c r="F3" s="2"/>
      <c r="G3" s="2"/>
      <c r="H3" s="19"/>
      <c r="I3" s="2"/>
      <c r="J3" s="18"/>
      <c r="K3" s="18"/>
      <c r="L3" s="2"/>
      <c r="M3" s="2"/>
      <c r="N3" s="2"/>
      <c r="O3" s="19"/>
      <c r="P3" s="2"/>
      <c r="Q3" s="18"/>
      <c r="R3" s="18"/>
      <c r="S3" s="2"/>
      <c r="T3" s="2"/>
      <c r="U3" s="2"/>
      <c r="V3" s="19"/>
      <c r="W3" s="2"/>
      <c r="X3" s="18"/>
      <c r="Y3" s="18"/>
      <c r="Z3" s="2"/>
      <c r="AA3" s="2"/>
      <c r="AB3" s="2"/>
      <c r="AC3" s="19"/>
      <c r="AD3" s="2"/>
      <c r="AE3" s="18"/>
      <c r="AF3" s="18"/>
      <c r="AG3" s="2"/>
      <c r="AH3" s="2"/>
      <c r="AI3" s="11">
        <f t="shared" si="0"/>
        <v>0</v>
      </c>
      <c r="AJ3" s="12">
        <f t="shared" si="1"/>
        <v>0</v>
      </c>
      <c r="AK3" s="13">
        <f t="shared" si="2"/>
        <v>0</v>
      </c>
      <c r="AL3" s="14">
        <f t="shared" si="3"/>
        <v>0</v>
      </c>
      <c r="AM3" s="14">
        <f t="shared" si="4"/>
        <v>0</v>
      </c>
      <c r="AN3" s="15">
        <f t="shared" si="5"/>
        <v>0</v>
      </c>
      <c r="AO3" s="16">
        <f t="shared" si="6"/>
        <v>0</v>
      </c>
      <c r="AP3" s="17"/>
      <c r="AQ3" s="46"/>
      <c r="AR3" s="47"/>
      <c r="AS3" s="48"/>
      <c r="AT3" s="83"/>
      <c r="AU3" s="82"/>
      <c r="AV3" s="83">
        <f t="shared" si="7"/>
        <v>0</v>
      </c>
      <c r="AW3" s="84"/>
      <c r="AX3" s="85"/>
      <c r="AY3" s="50"/>
      <c r="AZ3" s="88">
        <v>2</v>
      </c>
    </row>
    <row r="4" spans="1:52" ht="27.75" customHeight="1" x14ac:dyDescent="0.2">
      <c r="A4" s="2"/>
      <c r="B4" s="2"/>
      <c r="C4" s="2"/>
      <c r="D4" s="2"/>
      <c r="E4" s="5"/>
      <c r="F4" s="2"/>
      <c r="G4" s="2"/>
      <c r="H4" s="19"/>
      <c r="I4" s="2"/>
      <c r="J4" s="18"/>
      <c r="K4" s="18"/>
      <c r="L4" s="2"/>
      <c r="M4" s="2"/>
      <c r="N4" s="2"/>
      <c r="O4" s="19"/>
      <c r="P4" s="2"/>
      <c r="Q4" s="18"/>
      <c r="R4" s="18"/>
      <c r="S4" s="2"/>
      <c r="T4" s="2"/>
      <c r="U4" s="2"/>
      <c r="V4" s="19"/>
      <c r="W4" s="2"/>
      <c r="X4" s="18"/>
      <c r="Y4" s="18"/>
      <c r="Z4" s="2"/>
      <c r="AA4" s="2"/>
      <c r="AB4" s="2"/>
      <c r="AC4" s="19"/>
      <c r="AD4" s="2"/>
      <c r="AE4" s="18"/>
      <c r="AF4" s="18"/>
      <c r="AG4" s="2"/>
      <c r="AH4" s="2"/>
      <c r="AI4" s="11">
        <f t="shared" si="0"/>
        <v>0</v>
      </c>
      <c r="AJ4" s="12">
        <f t="shared" si="1"/>
        <v>0</v>
      </c>
      <c r="AK4" s="13">
        <f t="shared" si="2"/>
        <v>0</v>
      </c>
      <c r="AL4" s="14">
        <f t="shared" si="3"/>
        <v>0</v>
      </c>
      <c r="AM4" s="14">
        <f t="shared" si="4"/>
        <v>0</v>
      </c>
      <c r="AN4" s="15">
        <f t="shared" si="5"/>
        <v>0</v>
      </c>
      <c r="AO4" s="16">
        <f t="shared" si="6"/>
        <v>0</v>
      </c>
      <c r="AP4" s="17"/>
      <c r="AQ4" s="47"/>
      <c r="AR4" s="47"/>
      <c r="AS4" s="48"/>
      <c r="AT4" s="86"/>
      <c r="AU4" s="82"/>
      <c r="AV4" s="83">
        <f t="shared" si="7"/>
        <v>0</v>
      </c>
      <c r="AW4" s="84"/>
      <c r="AX4" s="85"/>
      <c r="AY4" s="50"/>
      <c r="AZ4" s="88">
        <v>3</v>
      </c>
    </row>
    <row r="5" spans="1:52" ht="27.75" customHeight="1" x14ac:dyDescent="0.2">
      <c r="A5" s="2"/>
      <c r="B5" s="2"/>
      <c r="C5" s="2"/>
      <c r="D5" s="2"/>
      <c r="E5" s="5"/>
      <c r="F5" s="2"/>
      <c r="G5" s="2"/>
      <c r="H5" s="19"/>
      <c r="I5" s="2"/>
      <c r="J5" s="18"/>
      <c r="K5" s="18"/>
      <c r="L5" s="2"/>
      <c r="M5" s="2"/>
      <c r="N5" s="2"/>
      <c r="O5" s="19"/>
      <c r="P5" s="2"/>
      <c r="Q5" s="18"/>
      <c r="R5" s="18"/>
      <c r="S5" s="2"/>
      <c r="T5" s="2"/>
      <c r="U5" s="2"/>
      <c r="V5" s="19"/>
      <c r="W5" s="2"/>
      <c r="X5" s="18"/>
      <c r="Y5" s="18"/>
      <c r="Z5" s="2"/>
      <c r="AA5" s="2"/>
      <c r="AB5" s="2"/>
      <c r="AC5" s="19"/>
      <c r="AD5" s="2"/>
      <c r="AE5" s="18"/>
      <c r="AF5" s="18"/>
      <c r="AG5" s="2"/>
      <c r="AH5" s="2"/>
      <c r="AI5" s="11">
        <f t="shared" si="0"/>
        <v>0</v>
      </c>
      <c r="AJ5" s="12">
        <f t="shared" si="1"/>
        <v>0</v>
      </c>
      <c r="AK5" s="13">
        <f t="shared" si="2"/>
        <v>0</v>
      </c>
      <c r="AL5" s="14">
        <f t="shared" si="3"/>
        <v>0</v>
      </c>
      <c r="AM5" s="14">
        <f t="shared" si="4"/>
        <v>0</v>
      </c>
      <c r="AN5" s="15">
        <f t="shared" si="5"/>
        <v>0</v>
      </c>
      <c r="AO5" s="16">
        <f t="shared" si="6"/>
        <v>0</v>
      </c>
      <c r="AP5" s="17"/>
      <c r="AQ5" s="46"/>
      <c r="AR5" s="47"/>
      <c r="AS5" s="48"/>
      <c r="AT5" s="86"/>
      <c r="AU5" s="82"/>
      <c r="AV5" s="83">
        <f t="shared" si="7"/>
        <v>0</v>
      </c>
      <c r="AW5" s="84"/>
      <c r="AX5" s="85"/>
      <c r="AY5" s="50"/>
      <c r="AZ5" s="88">
        <v>4</v>
      </c>
    </row>
    <row r="6" spans="1:52" ht="27.75" customHeight="1" x14ac:dyDescent="0.2">
      <c r="A6" s="2"/>
      <c r="B6" s="2"/>
      <c r="C6" s="2"/>
      <c r="D6" s="2"/>
      <c r="E6" s="5"/>
      <c r="F6" s="2"/>
      <c r="G6" s="2"/>
      <c r="H6" s="19"/>
      <c r="I6" s="2"/>
      <c r="J6" s="18"/>
      <c r="K6" s="18"/>
      <c r="L6" s="2"/>
      <c r="M6" s="2"/>
      <c r="N6" s="2"/>
      <c r="O6" s="19"/>
      <c r="P6" s="2"/>
      <c r="Q6" s="18"/>
      <c r="R6" s="18"/>
      <c r="S6" s="2"/>
      <c r="T6" s="2"/>
      <c r="U6" s="2"/>
      <c r="V6" s="19"/>
      <c r="W6" s="2"/>
      <c r="X6" s="18"/>
      <c r="Y6" s="18"/>
      <c r="Z6" s="2"/>
      <c r="AA6" s="2"/>
      <c r="AB6" s="2"/>
      <c r="AC6" s="19"/>
      <c r="AD6" s="2"/>
      <c r="AE6" s="18"/>
      <c r="AF6" s="18"/>
      <c r="AG6" s="2"/>
      <c r="AH6" s="2"/>
      <c r="AI6" s="11">
        <f t="shared" si="0"/>
        <v>0</v>
      </c>
      <c r="AJ6" s="12">
        <f t="shared" si="1"/>
        <v>0</v>
      </c>
      <c r="AK6" s="13">
        <f t="shared" si="2"/>
        <v>0</v>
      </c>
      <c r="AL6" s="14">
        <f t="shared" si="3"/>
        <v>0</v>
      </c>
      <c r="AM6" s="14">
        <f t="shared" si="4"/>
        <v>0</v>
      </c>
      <c r="AN6" s="15">
        <f t="shared" si="5"/>
        <v>0</v>
      </c>
      <c r="AO6" s="16">
        <f t="shared" si="6"/>
        <v>0</v>
      </c>
      <c r="AP6" s="17"/>
      <c r="AQ6" s="46"/>
      <c r="AR6" s="47"/>
      <c r="AS6" s="48"/>
      <c r="AT6" s="83"/>
      <c r="AU6" s="82"/>
      <c r="AV6" s="83">
        <f t="shared" si="7"/>
        <v>0</v>
      </c>
      <c r="AW6" s="84"/>
      <c r="AX6" s="85"/>
      <c r="AY6" s="50"/>
      <c r="AZ6" s="88">
        <v>5</v>
      </c>
    </row>
    <row r="7" spans="1:52" ht="27.75" customHeight="1" x14ac:dyDescent="0.2">
      <c r="A7" s="2"/>
      <c r="B7" s="2"/>
      <c r="C7" s="2"/>
      <c r="D7" s="2"/>
      <c r="E7" s="5"/>
      <c r="F7" s="2"/>
      <c r="G7" s="2"/>
      <c r="H7" s="19"/>
      <c r="I7" s="2"/>
      <c r="J7" s="18"/>
      <c r="K7" s="18"/>
      <c r="L7" s="2"/>
      <c r="M7" s="2"/>
      <c r="N7" s="2"/>
      <c r="O7" s="19"/>
      <c r="P7" s="2"/>
      <c r="Q7" s="18"/>
      <c r="R7" s="18"/>
      <c r="S7" s="2"/>
      <c r="T7" s="2"/>
      <c r="U7" s="2"/>
      <c r="V7" s="19"/>
      <c r="W7" s="2"/>
      <c r="X7" s="18"/>
      <c r="Y7" s="18"/>
      <c r="Z7" s="2"/>
      <c r="AA7" s="2"/>
      <c r="AB7" s="2"/>
      <c r="AC7" s="19"/>
      <c r="AD7" s="2"/>
      <c r="AE7" s="18"/>
      <c r="AF7" s="18"/>
      <c r="AG7" s="2"/>
      <c r="AH7" s="2"/>
      <c r="AI7" s="11">
        <f t="shared" si="0"/>
        <v>0</v>
      </c>
      <c r="AJ7" s="12">
        <f t="shared" si="1"/>
        <v>0</v>
      </c>
      <c r="AK7" s="13">
        <f t="shared" si="2"/>
        <v>0</v>
      </c>
      <c r="AL7" s="14">
        <f t="shared" si="3"/>
        <v>0</v>
      </c>
      <c r="AM7" s="14">
        <f t="shared" si="4"/>
        <v>0</v>
      </c>
      <c r="AN7" s="15">
        <f t="shared" si="5"/>
        <v>0</v>
      </c>
      <c r="AO7" s="16">
        <f t="shared" si="6"/>
        <v>0</v>
      </c>
      <c r="AP7" s="17"/>
      <c r="AQ7" s="46"/>
      <c r="AR7" s="47"/>
      <c r="AS7" s="48"/>
      <c r="AT7" s="83"/>
      <c r="AU7" s="82"/>
      <c r="AV7" s="83">
        <f t="shared" si="7"/>
        <v>0</v>
      </c>
      <c r="AW7" s="84"/>
      <c r="AX7" s="85"/>
      <c r="AY7" s="50"/>
      <c r="AZ7" s="88">
        <v>6</v>
      </c>
    </row>
    <row r="8" spans="1:52" ht="27.75" customHeight="1" x14ac:dyDescent="0.2">
      <c r="A8" s="2"/>
      <c r="B8" s="2"/>
      <c r="C8" s="2"/>
      <c r="D8" s="2"/>
      <c r="E8" s="5"/>
      <c r="F8" s="2"/>
      <c r="G8" s="2"/>
      <c r="H8" s="19"/>
      <c r="I8" s="2"/>
      <c r="J8" s="18"/>
      <c r="K8" s="18"/>
      <c r="L8" s="2"/>
      <c r="M8" s="2"/>
      <c r="N8" s="2"/>
      <c r="O8" s="19"/>
      <c r="P8" s="2"/>
      <c r="Q8" s="18"/>
      <c r="R8" s="18"/>
      <c r="S8" s="2"/>
      <c r="T8" s="2"/>
      <c r="U8" s="2"/>
      <c r="V8" s="19"/>
      <c r="W8" s="2"/>
      <c r="X8" s="18"/>
      <c r="Y8" s="18"/>
      <c r="Z8" s="2"/>
      <c r="AA8" s="2"/>
      <c r="AB8" s="2"/>
      <c r="AC8" s="19"/>
      <c r="AD8" s="2"/>
      <c r="AE8" s="18"/>
      <c r="AF8" s="18"/>
      <c r="AG8" s="2"/>
      <c r="AH8" s="2"/>
      <c r="AI8" s="11">
        <f t="shared" si="0"/>
        <v>0</v>
      </c>
      <c r="AJ8" s="12">
        <f t="shared" si="1"/>
        <v>0</v>
      </c>
      <c r="AK8" s="13">
        <f t="shared" si="2"/>
        <v>0</v>
      </c>
      <c r="AL8" s="14">
        <f t="shared" si="3"/>
        <v>0</v>
      </c>
      <c r="AM8" s="14">
        <f t="shared" si="4"/>
        <v>0</v>
      </c>
      <c r="AN8" s="15">
        <f t="shared" si="5"/>
        <v>0</v>
      </c>
      <c r="AO8" s="16">
        <f t="shared" si="6"/>
        <v>0</v>
      </c>
      <c r="AP8" s="17"/>
      <c r="AQ8" s="47"/>
      <c r="AR8" s="47"/>
      <c r="AS8" s="48"/>
      <c r="AT8" s="86"/>
      <c r="AU8" s="82"/>
      <c r="AV8" s="83">
        <f t="shared" si="7"/>
        <v>0</v>
      </c>
      <c r="AW8" s="84"/>
      <c r="AX8" s="85"/>
      <c r="AY8" s="50"/>
      <c r="AZ8" s="88">
        <v>7</v>
      </c>
    </row>
    <row r="9" spans="1:52" ht="27.75" customHeight="1" x14ac:dyDescent="0.2">
      <c r="A9" s="2"/>
      <c r="B9" s="2"/>
      <c r="C9" s="2"/>
      <c r="D9" s="2"/>
      <c r="E9" s="5"/>
      <c r="F9" s="2"/>
      <c r="G9" s="2"/>
      <c r="H9" s="19"/>
      <c r="I9" s="2"/>
      <c r="J9" s="18"/>
      <c r="K9" s="18"/>
      <c r="L9" s="2"/>
      <c r="M9" s="2"/>
      <c r="N9" s="2"/>
      <c r="O9" s="19"/>
      <c r="P9" s="2"/>
      <c r="Q9" s="18"/>
      <c r="R9" s="18"/>
      <c r="S9" s="2"/>
      <c r="T9" s="2"/>
      <c r="U9" s="2"/>
      <c r="V9" s="19"/>
      <c r="W9" s="2"/>
      <c r="X9" s="18"/>
      <c r="Y9" s="18"/>
      <c r="Z9" s="2"/>
      <c r="AA9" s="2"/>
      <c r="AB9" s="2"/>
      <c r="AC9" s="19"/>
      <c r="AD9" s="2"/>
      <c r="AE9" s="18"/>
      <c r="AF9" s="18"/>
      <c r="AG9" s="2"/>
      <c r="AH9" s="2"/>
      <c r="AI9" s="11">
        <f t="shared" si="0"/>
        <v>0</v>
      </c>
      <c r="AJ9" s="12">
        <f t="shared" si="1"/>
        <v>0</v>
      </c>
      <c r="AK9" s="13">
        <f t="shared" si="2"/>
        <v>0</v>
      </c>
      <c r="AL9" s="14">
        <f t="shared" si="3"/>
        <v>0</v>
      </c>
      <c r="AM9" s="14">
        <f t="shared" si="4"/>
        <v>0</v>
      </c>
      <c r="AN9" s="15">
        <f t="shared" si="5"/>
        <v>0</v>
      </c>
      <c r="AO9" s="16">
        <f t="shared" si="6"/>
        <v>0</v>
      </c>
      <c r="AP9" s="17"/>
      <c r="AQ9" s="47"/>
      <c r="AR9" s="47"/>
      <c r="AS9" s="48"/>
      <c r="AT9" s="83"/>
      <c r="AU9" s="82"/>
      <c r="AV9" s="83">
        <f t="shared" si="7"/>
        <v>0</v>
      </c>
      <c r="AW9" s="84"/>
      <c r="AX9" s="85"/>
      <c r="AY9" s="50"/>
      <c r="AZ9" s="88">
        <v>8</v>
      </c>
    </row>
    <row r="10" spans="1:52" ht="27.75" customHeight="1" x14ac:dyDescent="0.2">
      <c r="A10" s="2"/>
      <c r="B10" s="2"/>
      <c r="C10" s="2"/>
      <c r="D10" s="2"/>
      <c r="E10" s="5"/>
      <c r="F10" s="2"/>
      <c r="G10" s="2"/>
      <c r="H10" s="19"/>
      <c r="I10" s="2"/>
      <c r="J10" s="18"/>
      <c r="K10" s="18"/>
      <c r="L10" s="2"/>
      <c r="M10" s="2"/>
      <c r="N10" s="2"/>
      <c r="O10" s="19"/>
      <c r="P10" s="2"/>
      <c r="Q10" s="18"/>
      <c r="R10" s="18"/>
      <c r="S10" s="2"/>
      <c r="T10" s="2"/>
      <c r="U10" s="2"/>
      <c r="V10" s="19"/>
      <c r="W10" s="2"/>
      <c r="X10" s="18"/>
      <c r="Y10" s="18"/>
      <c r="Z10" s="2"/>
      <c r="AA10" s="2"/>
      <c r="AB10" s="2"/>
      <c r="AC10" s="19"/>
      <c r="AD10" s="2"/>
      <c r="AE10" s="18"/>
      <c r="AF10" s="18"/>
      <c r="AG10" s="2"/>
      <c r="AH10" s="2"/>
      <c r="AI10" s="11">
        <f t="shared" si="0"/>
        <v>0</v>
      </c>
      <c r="AJ10" s="12">
        <f t="shared" si="1"/>
        <v>0</v>
      </c>
      <c r="AK10" s="13">
        <f t="shared" si="2"/>
        <v>0</v>
      </c>
      <c r="AL10" s="14">
        <f t="shared" si="3"/>
        <v>0</v>
      </c>
      <c r="AM10" s="14">
        <f t="shared" si="4"/>
        <v>0</v>
      </c>
      <c r="AN10" s="15">
        <f t="shared" si="5"/>
        <v>0</v>
      </c>
      <c r="AO10" s="16">
        <f t="shared" si="6"/>
        <v>0</v>
      </c>
      <c r="AP10" s="17"/>
      <c r="AQ10" s="47"/>
      <c r="AR10" s="47"/>
      <c r="AS10" s="48"/>
      <c r="AT10" s="83"/>
      <c r="AU10" s="82"/>
      <c r="AV10" s="83">
        <f t="shared" si="7"/>
        <v>0</v>
      </c>
      <c r="AW10" s="84"/>
      <c r="AX10" s="85"/>
      <c r="AY10" s="50"/>
      <c r="AZ10" s="16">
        <v>9</v>
      </c>
    </row>
    <row r="11" spans="1:52" ht="27.75" customHeight="1" x14ac:dyDescent="0.2">
      <c r="A11" s="2"/>
      <c r="B11" s="2"/>
      <c r="C11" s="2"/>
      <c r="D11" s="2"/>
      <c r="E11" s="5"/>
      <c r="F11" s="2"/>
      <c r="G11" s="2"/>
      <c r="H11" s="19"/>
      <c r="I11" s="2"/>
      <c r="J11" s="18"/>
      <c r="K11" s="18"/>
      <c r="L11" s="2"/>
      <c r="M11" s="2"/>
      <c r="N11" s="2"/>
      <c r="O11" s="19"/>
      <c r="P11" s="2"/>
      <c r="Q11" s="18"/>
      <c r="R11" s="18"/>
      <c r="S11" s="2"/>
      <c r="T11" s="2"/>
      <c r="U11" s="2"/>
      <c r="V11" s="19"/>
      <c r="W11" s="2"/>
      <c r="X11" s="18"/>
      <c r="Y11" s="18"/>
      <c r="Z11" s="2"/>
      <c r="AA11" s="2"/>
      <c r="AB11" s="2"/>
      <c r="AC11" s="19"/>
      <c r="AD11" s="2"/>
      <c r="AE11" s="18"/>
      <c r="AF11" s="18"/>
      <c r="AG11" s="2"/>
      <c r="AH11" s="2"/>
      <c r="AI11" s="11">
        <f t="shared" si="0"/>
        <v>0</v>
      </c>
      <c r="AJ11" s="12">
        <f t="shared" si="1"/>
        <v>0</v>
      </c>
      <c r="AK11" s="13">
        <f t="shared" si="2"/>
        <v>0</v>
      </c>
      <c r="AL11" s="14">
        <f t="shared" si="3"/>
        <v>0</v>
      </c>
      <c r="AM11" s="14">
        <f t="shared" si="4"/>
        <v>0</v>
      </c>
      <c r="AN11" s="15">
        <f t="shared" si="5"/>
        <v>0</v>
      </c>
      <c r="AO11" s="16">
        <f t="shared" si="6"/>
        <v>0</v>
      </c>
      <c r="AP11" s="17"/>
      <c r="AQ11" s="47"/>
      <c r="AR11" s="47"/>
      <c r="AS11" s="48"/>
      <c r="AT11" s="86"/>
      <c r="AU11" s="82"/>
      <c r="AV11" s="83">
        <f t="shared" si="7"/>
        <v>0</v>
      </c>
      <c r="AW11" s="84"/>
      <c r="AX11" s="85"/>
      <c r="AY11" s="50"/>
      <c r="AZ11" s="88">
        <v>10</v>
      </c>
    </row>
    <row r="12" spans="1:52" ht="27.75" customHeight="1" x14ac:dyDescent="0.2">
      <c r="A12" s="2"/>
      <c r="B12" s="2"/>
      <c r="C12" s="2"/>
      <c r="D12" s="2"/>
      <c r="E12" s="5"/>
      <c r="F12" s="2"/>
      <c r="G12" s="2"/>
      <c r="H12" s="19"/>
      <c r="I12" s="2"/>
      <c r="J12" s="18"/>
      <c r="K12" s="18"/>
      <c r="L12" s="2"/>
      <c r="M12" s="2"/>
      <c r="N12" s="2"/>
      <c r="O12" s="19"/>
      <c r="P12" s="2"/>
      <c r="Q12" s="18"/>
      <c r="R12" s="18"/>
      <c r="S12" s="2"/>
      <c r="T12" s="2"/>
      <c r="U12" s="2"/>
      <c r="V12" s="19"/>
      <c r="W12" s="2"/>
      <c r="X12" s="18"/>
      <c r="Y12" s="18"/>
      <c r="Z12" s="2"/>
      <c r="AA12" s="2"/>
      <c r="AB12" s="2"/>
      <c r="AC12" s="19"/>
      <c r="AD12" s="2"/>
      <c r="AE12" s="18"/>
      <c r="AF12" s="18"/>
      <c r="AG12" s="2"/>
      <c r="AH12" s="2"/>
      <c r="AI12" s="11">
        <f t="shared" si="0"/>
        <v>0</v>
      </c>
      <c r="AJ12" s="12">
        <f t="shared" si="1"/>
        <v>0</v>
      </c>
      <c r="AK12" s="13">
        <f t="shared" si="2"/>
        <v>0</v>
      </c>
      <c r="AL12" s="14">
        <f t="shared" si="3"/>
        <v>0</v>
      </c>
      <c r="AM12" s="14">
        <f t="shared" si="4"/>
        <v>0</v>
      </c>
      <c r="AN12" s="15">
        <f t="shared" si="5"/>
        <v>0</v>
      </c>
      <c r="AO12" s="16">
        <f t="shared" si="6"/>
        <v>0</v>
      </c>
      <c r="AP12" s="17"/>
      <c r="AQ12" s="46"/>
      <c r="AR12" s="47"/>
      <c r="AS12" s="48"/>
      <c r="AT12" s="83"/>
      <c r="AU12" s="82"/>
      <c r="AV12" s="83">
        <f t="shared" si="7"/>
        <v>0</v>
      </c>
      <c r="AW12" s="84"/>
      <c r="AX12" s="85"/>
      <c r="AY12" s="50"/>
      <c r="AZ12" s="88">
        <v>11</v>
      </c>
    </row>
    <row r="13" spans="1:52" ht="27.75" customHeight="1" x14ac:dyDescent="0.2">
      <c r="A13" s="2"/>
      <c r="B13" s="2"/>
      <c r="C13" s="2"/>
      <c r="D13" s="2"/>
      <c r="E13" s="5"/>
      <c r="F13" s="2"/>
      <c r="G13" s="2"/>
      <c r="H13" s="19"/>
      <c r="I13" s="2"/>
      <c r="J13" s="18"/>
      <c r="K13" s="18"/>
      <c r="L13" s="2"/>
      <c r="M13" s="2"/>
      <c r="N13" s="2"/>
      <c r="O13" s="19"/>
      <c r="P13" s="2"/>
      <c r="Q13" s="18"/>
      <c r="R13" s="18"/>
      <c r="S13" s="2"/>
      <c r="T13" s="2"/>
      <c r="U13" s="2"/>
      <c r="V13" s="19"/>
      <c r="W13" s="2"/>
      <c r="X13" s="18"/>
      <c r="Y13" s="18"/>
      <c r="Z13" s="2"/>
      <c r="AA13" s="2"/>
      <c r="AB13" s="2"/>
      <c r="AC13" s="19"/>
      <c r="AD13" s="2"/>
      <c r="AE13" s="18"/>
      <c r="AF13" s="18"/>
      <c r="AG13" s="2"/>
      <c r="AH13" s="2"/>
      <c r="AI13" s="11">
        <f t="shared" si="0"/>
        <v>0</v>
      </c>
      <c r="AJ13" s="12">
        <f t="shared" si="1"/>
        <v>0</v>
      </c>
      <c r="AK13" s="13">
        <f t="shared" si="2"/>
        <v>0</v>
      </c>
      <c r="AL13" s="14">
        <f t="shared" si="3"/>
        <v>0</v>
      </c>
      <c r="AM13" s="14">
        <f t="shared" si="4"/>
        <v>0</v>
      </c>
      <c r="AN13" s="15">
        <f t="shared" si="5"/>
        <v>0</v>
      </c>
      <c r="AO13" s="16">
        <f t="shared" si="6"/>
        <v>0</v>
      </c>
      <c r="AP13" s="17"/>
      <c r="AQ13" s="47"/>
      <c r="AR13" s="47"/>
      <c r="AS13" s="48"/>
      <c r="AT13" s="83"/>
      <c r="AU13" s="82"/>
      <c r="AV13" s="83">
        <f t="shared" si="7"/>
        <v>0</v>
      </c>
      <c r="AW13" s="84"/>
      <c r="AX13" s="48"/>
      <c r="AY13" s="50"/>
      <c r="AZ13" s="88">
        <v>12</v>
      </c>
    </row>
    <row r="14" spans="1:52" ht="27.75" customHeight="1" x14ac:dyDescent="0.2">
      <c r="A14" s="2"/>
      <c r="B14" s="2"/>
      <c r="C14" s="2"/>
      <c r="D14" s="2"/>
      <c r="E14" s="5"/>
      <c r="F14" s="2"/>
      <c r="G14" s="2"/>
      <c r="H14" s="19"/>
      <c r="I14" s="2"/>
      <c r="J14" s="18"/>
      <c r="K14" s="18"/>
      <c r="L14" s="2"/>
      <c r="M14" s="2"/>
      <c r="N14" s="2"/>
      <c r="O14" s="19"/>
      <c r="P14" s="2"/>
      <c r="Q14" s="18"/>
      <c r="R14" s="18"/>
      <c r="S14" s="2"/>
      <c r="T14" s="2"/>
      <c r="U14" s="2"/>
      <c r="V14" s="19"/>
      <c r="W14" s="2"/>
      <c r="X14" s="18"/>
      <c r="Y14" s="18"/>
      <c r="Z14" s="2"/>
      <c r="AA14" s="2"/>
      <c r="AB14" s="2"/>
      <c r="AC14" s="19"/>
      <c r="AD14" s="2"/>
      <c r="AE14" s="18"/>
      <c r="AF14" s="18"/>
      <c r="AG14" s="2"/>
      <c r="AH14" s="2"/>
      <c r="AI14" s="11">
        <f t="shared" si="0"/>
        <v>0</v>
      </c>
      <c r="AJ14" s="12">
        <f t="shared" si="1"/>
        <v>0</v>
      </c>
      <c r="AK14" s="13">
        <f t="shared" si="2"/>
        <v>0</v>
      </c>
      <c r="AL14" s="14">
        <f t="shared" si="3"/>
        <v>0</v>
      </c>
      <c r="AM14" s="14">
        <f t="shared" si="4"/>
        <v>0</v>
      </c>
      <c r="AN14" s="15">
        <f t="shared" si="5"/>
        <v>0</v>
      </c>
      <c r="AO14" s="16">
        <f t="shared" si="6"/>
        <v>0</v>
      </c>
      <c r="AP14" s="17"/>
      <c r="AQ14" s="46"/>
      <c r="AR14" s="47"/>
      <c r="AS14" s="48"/>
      <c r="AT14" s="83"/>
      <c r="AU14" s="82"/>
      <c r="AV14" s="83">
        <f t="shared" si="7"/>
        <v>0</v>
      </c>
      <c r="AW14" s="84"/>
      <c r="AX14" s="48"/>
      <c r="AY14" s="50"/>
      <c r="AZ14" s="88">
        <v>13</v>
      </c>
    </row>
    <row r="15" spans="1:52" ht="27.75" customHeight="1" x14ac:dyDescent="0.2">
      <c r="A15" s="2"/>
      <c r="B15" s="2"/>
      <c r="C15" s="2"/>
      <c r="D15" s="2"/>
      <c r="E15" s="5"/>
      <c r="F15" s="2"/>
      <c r="G15" s="2"/>
      <c r="H15" s="19"/>
      <c r="I15" s="2"/>
      <c r="J15" s="18"/>
      <c r="K15" s="18"/>
      <c r="L15" s="2"/>
      <c r="M15" s="2"/>
      <c r="N15" s="2"/>
      <c r="O15" s="19"/>
      <c r="P15" s="2"/>
      <c r="Q15" s="18"/>
      <c r="R15" s="18"/>
      <c r="S15" s="2"/>
      <c r="T15" s="2"/>
      <c r="U15" s="2"/>
      <c r="V15" s="19"/>
      <c r="W15" s="2"/>
      <c r="X15" s="18"/>
      <c r="Y15" s="18"/>
      <c r="Z15" s="2"/>
      <c r="AA15" s="2"/>
      <c r="AB15" s="2"/>
      <c r="AC15" s="19"/>
      <c r="AD15" s="2"/>
      <c r="AE15" s="18"/>
      <c r="AF15" s="18"/>
      <c r="AG15" s="2"/>
      <c r="AH15" s="2"/>
      <c r="AI15" s="11">
        <f t="shared" si="0"/>
        <v>0</v>
      </c>
      <c r="AJ15" s="12">
        <f t="shared" si="1"/>
        <v>0</v>
      </c>
      <c r="AK15" s="13">
        <f t="shared" si="2"/>
        <v>0</v>
      </c>
      <c r="AL15" s="14">
        <f t="shared" si="3"/>
        <v>0</v>
      </c>
      <c r="AM15" s="14">
        <f t="shared" si="4"/>
        <v>0</v>
      </c>
      <c r="AN15" s="15">
        <f t="shared" si="5"/>
        <v>0</v>
      </c>
      <c r="AO15" s="16">
        <f t="shared" si="6"/>
        <v>0</v>
      </c>
      <c r="AP15" s="17"/>
      <c r="AQ15" s="46"/>
      <c r="AR15" s="47"/>
      <c r="AS15" s="48"/>
      <c r="AT15" s="83"/>
      <c r="AU15" s="82"/>
      <c r="AV15" s="83">
        <f t="shared" si="7"/>
        <v>0</v>
      </c>
      <c r="AW15" s="84"/>
      <c r="AX15" s="48"/>
      <c r="AY15" s="50"/>
      <c r="AZ15" s="88">
        <v>14</v>
      </c>
    </row>
    <row r="16" spans="1:52" ht="27.75" customHeight="1" x14ac:dyDescent="0.2">
      <c r="A16" s="2"/>
      <c r="B16" s="2"/>
      <c r="C16" s="2"/>
      <c r="D16" s="2"/>
      <c r="E16" s="5"/>
      <c r="F16" s="2"/>
      <c r="G16" s="2"/>
      <c r="H16" s="19"/>
      <c r="I16" s="2"/>
      <c r="J16" s="18"/>
      <c r="K16" s="18"/>
      <c r="L16" s="2"/>
      <c r="M16" s="2"/>
      <c r="N16" s="2"/>
      <c r="O16" s="19"/>
      <c r="P16" s="2"/>
      <c r="Q16" s="18"/>
      <c r="R16" s="18"/>
      <c r="S16" s="2"/>
      <c r="T16" s="2"/>
      <c r="U16" s="2"/>
      <c r="V16" s="19"/>
      <c r="W16" s="2"/>
      <c r="X16" s="18"/>
      <c r="Y16" s="18"/>
      <c r="Z16" s="2"/>
      <c r="AA16" s="2"/>
      <c r="AB16" s="2"/>
      <c r="AC16" s="19"/>
      <c r="AD16" s="2"/>
      <c r="AE16" s="18"/>
      <c r="AF16" s="18"/>
      <c r="AG16" s="2"/>
      <c r="AH16" s="2"/>
      <c r="AI16" s="11">
        <f t="shared" si="0"/>
        <v>0</v>
      </c>
      <c r="AJ16" s="12">
        <f t="shared" si="1"/>
        <v>0</v>
      </c>
      <c r="AK16" s="13">
        <f t="shared" si="2"/>
        <v>0</v>
      </c>
      <c r="AL16" s="14">
        <f t="shared" si="3"/>
        <v>0</v>
      </c>
      <c r="AM16" s="14">
        <f t="shared" si="4"/>
        <v>0</v>
      </c>
      <c r="AN16" s="15">
        <f t="shared" si="5"/>
        <v>0</v>
      </c>
      <c r="AO16" s="16">
        <f t="shared" si="6"/>
        <v>0</v>
      </c>
      <c r="AP16" s="17"/>
      <c r="AQ16" s="46"/>
      <c r="AR16" s="47"/>
      <c r="AS16" s="48"/>
      <c r="AT16" s="83"/>
      <c r="AU16" s="82"/>
      <c r="AV16" s="83">
        <f t="shared" si="7"/>
        <v>0</v>
      </c>
      <c r="AW16" s="84"/>
      <c r="AX16" s="48"/>
      <c r="AY16" s="50"/>
      <c r="AZ16" s="88">
        <v>15</v>
      </c>
    </row>
    <row r="17" spans="1:52" ht="27.75" customHeight="1" x14ac:dyDescent="0.2">
      <c r="A17" s="2"/>
      <c r="B17" s="2"/>
      <c r="C17" s="2"/>
      <c r="D17" s="2"/>
      <c r="E17" s="5"/>
      <c r="F17" s="2"/>
      <c r="G17" s="2"/>
      <c r="H17" s="19"/>
      <c r="I17" s="2"/>
      <c r="J17" s="18"/>
      <c r="K17" s="18"/>
      <c r="L17" s="2"/>
      <c r="M17" s="2"/>
      <c r="N17" s="2"/>
      <c r="O17" s="19"/>
      <c r="P17" s="2"/>
      <c r="Q17" s="18"/>
      <c r="R17" s="18"/>
      <c r="S17" s="2"/>
      <c r="T17" s="2"/>
      <c r="U17" s="2"/>
      <c r="V17" s="19"/>
      <c r="W17" s="2"/>
      <c r="X17" s="18"/>
      <c r="Y17" s="18"/>
      <c r="Z17" s="2"/>
      <c r="AA17" s="2"/>
      <c r="AB17" s="2"/>
      <c r="AC17" s="19"/>
      <c r="AD17" s="2"/>
      <c r="AE17" s="18"/>
      <c r="AF17" s="18"/>
      <c r="AG17" s="2"/>
      <c r="AH17" s="2"/>
      <c r="AI17" s="11">
        <f t="shared" si="0"/>
        <v>0</v>
      </c>
      <c r="AJ17" s="12">
        <f t="shared" si="1"/>
        <v>0</v>
      </c>
      <c r="AK17" s="13">
        <f t="shared" si="2"/>
        <v>0</v>
      </c>
      <c r="AL17" s="14">
        <f t="shared" si="3"/>
        <v>0</v>
      </c>
      <c r="AM17" s="14">
        <f t="shared" si="4"/>
        <v>0</v>
      </c>
      <c r="AN17" s="15">
        <f t="shared" si="5"/>
        <v>0</v>
      </c>
      <c r="AO17" s="16">
        <f t="shared" si="6"/>
        <v>0</v>
      </c>
      <c r="AP17" s="17"/>
      <c r="AQ17" s="46"/>
      <c r="AR17" s="47"/>
      <c r="AS17" s="48"/>
      <c r="AT17" s="83"/>
      <c r="AU17" s="82"/>
      <c r="AV17" s="83">
        <f t="shared" si="7"/>
        <v>0</v>
      </c>
      <c r="AW17" s="84"/>
      <c r="AX17" s="48"/>
      <c r="AY17" s="50"/>
      <c r="AZ17" s="88">
        <v>16</v>
      </c>
    </row>
    <row r="18" spans="1:52" ht="27.75" customHeight="1" x14ac:dyDescent="0.2">
      <c r="A18" s="2"/>
      <c r="B18" s="2"/>
      <c r="C18" s="2"/>
      <c r="D18" s="2"/>
      <c r="E18" s="5"/>
      <c r="F18" s="2"/>
      <c r="G18" s="2"/>
      <c r="H18" s="19"/>
      <c r="I18" s="2"/>
      <c r="J18" s="18"/>
      <c r="K18" s="18"/>
      <c r="L18" s="2"/>
      <c r="M18" s="2"/>
      <c r="N18" s="2"/>
      <c r="O18" s="19"/>
      <c r="P18" s="2"/>
      <c r="Q18" s="18"/>
      <c r="R18" s="18"/>
      <c r="S18" s="2"/>
      <c r="T18" s="2"/>
      <c r="U18" s="2"/>
      <c r="V18" s="19"/>
      <c r="W18" s="2"/>
      <c r="X18" s="18"/>
      <c r="Y18" s="18"/>
      <c r="Z18" s="2"/>
      <c r="AA18" s="2"/>
      <c r="AB18" s="2"/>
      <c r="AC18" s="19"/>
      <c r="AD18" s="2"/>
      <c r="AE18" s="18"/>
      <c r="AF18" s="18"/>
      <c r="AG18" s="2"/>
      <c r="AH18" s="2"/>
      <c r="AI18" s="11">
        <f t="shared" si="0"/>
        <v>0</v>
      </c>
      <c r="AJ18" s="12">
        <f t="shared" si="1"/>
        <v>0</v>
      </c>
      <c r="AK18" s="13">
        <f t="shared" si="2"/>
        <v>0</v>
      </c>
      <c r="AL18" s="14">
        <f t="shared" si="3"/>
        <v>0</v>
      </c>
      <c r="AM18" s="14">
        <f t="shared" si="4"/>
        <v>0</v>
      </c>
      <c r="AN18" s="15">
        <f t="shared" si="5"/>
        <v>0</v>
      </c>
      <c r="AO18" s="16">
        <f t="shared" si="6"/>
        <v>0</v>
      </c>
      <c r="AP18" s="17"/>
      <c r="AQ18" s="47"/>
      <c r="AR18" s="47"/>
      <c r="AS18" s="48"/>
      <c r="AT18" s="83"/>
      <c r="AU18" s="82"/>
      <c r="AV18" s="83">
        <f t="shared" si="7"/>
        <v>0</v>
      </c>
      <c r="AW18" s="84"/>
      <c r="AX18" s="48"/>
      <c r="AY18" s="50"/>
      <c r="AZ18" s="88">
        <v>17</v>
      </c>
    </row>
    <row r="19" spans="1:52" ht="27.75" customHeight="1" x14ac:dyDescent="0.2">
      <c r="A19" s="2"/>
      <c r="B19" s="2"/>
      <c r="C19" s="2"/>
      <c r="D19" s="2"/>
      <c r="E19" s="5"/>
      <c r="F19" s="2"/>
      <c r="G19" s="2"/>
      <c r="H19" s="19"/>
      <c r="I19" s="2"/>
      <c r="J19" s="18"/>
      <c r="K19" s="18"/>
      <c r="L19" s="2"/>
      <c r="M19" s="2"/>
      <c r="N19" s="2"/>
      <c r="O19" s="19"/>
      <c r="P19" s="2"/>
      <c r="Q19" s="18"/>
      <c r="R19" s="18"/>
      <c r="S19" s="2"/>
      <c r="T19" s="2"/>
      <c r="U19" s="2"/>
      <c r="V19" s="19"/>
      <c r="W19" s="2"/>
      <c r="X19" s="18"/>
      <c r="Y19" s="18"/>
      <c r="Z19" s="2"/>
      <c r="AA19" s="2"/>
      <c r="AB19" s="2"/>
      <c r="AC19" s="19"/>
      <c r="AD19" s="2"/>
      <c r="AE19" s="18"/>
      <c r="AF19" s="18"/>
      <c r="AG19" s="2"/>
      <c r="AH19" s="2"/>
      <c r="AI19" s="11">
        <f t="shared" si="0"/>
        <v>0</v>
      </c>
      <c r="AJ19" s="12">
        <f t="shared" si="1"/>
        <v>0</v>
      </c>
      <c r="AK19" s="13">
        <f t="shared" si="2"/>
        <v>0</v>
      </c>
      <c r="AL19" s="14">
        <f t="shared" si="3"/>
        <v>0</v>
      </c>
      <c r="AM19" s="14">
        <f t="shared" si="4"/>
        <v>0</v>
      </c>
      <c r="AN19" s="15">
        <f t="shared" si="5"/>
        <v>0</v>
      </c>
      <c r="AO19" s="16">
        <f t="shared" si="6"/>
        <v>0</v>
      </c>
      <c r="AP19" s="17"/>
      <c r="AQ19" s="47"/>
      <c r="AR19" s="47"/>
      <c r="AS19" s="48"/>
      <c r="AT19" s="83"/>
      <c r="AU19" s="82"/>
      <c r="AV19" s="83">
        <f t="shared" si="7"/>
        <v>0</v>
      </c>
      <c r="AW19" s="84"/>
      <c r="AX19" s="48"/>
      <c r="AY19" s="50"/>
      <c r="AZ19" s="88">
        <v>18</v>
      </c>
    </row>
    <row r="20" spans="1:52" s="42" customFormat="1" ht="27.75" customHeight="1" x14ac:dyDescent="0.2">
      <c r="A20" s="2"/>
      <c r="B20" s="2"/>
      <c r="C20" s="2"/>
      <c r="D20" s="2"/>
      <c r="E20" s="5"/>
      <c r="F20" s="2"/>
      <c r="G20" s="2"/>
      <c r="H20" s="19"/>
      <c r="I20" s="2"/>
      <c r="J20" s="18"/>
      <c r="K20" s="18"/>
      <c r="L20" s="2"/>
      <c r="M20" s="2"/>
      <c r="N20" s="2"/>
      <c r="O20" s="19"/>
      <c r="P20" s="2"/>
      <c r="Q20" s="18"/>
      <c r="R20" s="18"/>
      <c r="S20" s="2"/>
      <c r="T20" s="2"/>
      <c r="U20" s="2"/>
      <c r="V20" s="19"/>
      <c r="W20" s="2"/>
      <c r="X20" s="18"/>
      <c r="Y20" s="18"/>
      <c r="Z20" s="2"/>
      <c r="AA20" s="2"/>
      <c r="AB20" s="2"/>
      <c r="AC20" s="19"/>
      <c r="AD20" s="2"/>
      <c r="AE20" s="18"/>
      <c r="AF20" s="18"/>
      <c r="AG20" s="2"/>
      <c r="AH20" s="2"/>
      <c r="AI20" s="11">
        <f t="shared" si="0"/>
        <v>0</v>
      </c>
      <c r="AJ20" s="12">
        <f t="shared" si="1"/>
        <v>0</v>
      </c>
      <c r="AK20" s="13">
        <f t="shared" si="2"/>
        <v>0</v>
      </c>
      <c r="AL20" s="14">
        <f t="shared" si="3"/>
        <v>0</v>
      </c>
      <c r="AM20" s="14">
        <f t="shared" si="4"/>
        <v>0</v>
      </c>
      <c r="AN20" s="15">
        <f t="shared" si="5"/>
        <v>0</v>
      </c>
      <c r="AO20" s="16">
        <f t="shared" si="6"/>
        <v>0</v>
      </c>
      <c r="AP20" s="17"/>
      <c r="AQ20" s="47"/>
      <c r="AR20" s="47"/>
      <c r="AS20" s="48"/>
      <c r="AT20" s="83"/>
      <c r="AU20" s="82"/>
      <c r="AV20" s="83">
        <f t="shared" si="7"/>
        <v>0</v>
      </c>
      <c r="AW20" s="84"/>
      <c r="AX20" s="48"/>
      <c r="AY20" s="50"/>
      <c r="AZ20" s="88"/>
    </row>
    <row r="21" spans="1:52" ht="27.75" customHeight="1" thickBot="1" x14ac:dyDescent="0.25">
      <c r="A21" s="2"/>
      <c r="B21" s="2"/>
      <c r="C21" s="2"/>
      <c r="D21" s="2"/>
      <c r="E21" s="5"/>
      <c r="F21" s="2"/>
      <c r="G21" s="2"/>
      <c r="H21" s="19"/>
      <c r="I21" s="2"/>
      <c r="J21" s="18"/>
      <c r="K21" s="18"/>
      <c r="L21" s="2"/>
      <c r="M21" s="2"/>
      <c r="N21" s="2"/>
      <c r="O21" s="19"/>
      <c r="P21" s="2"/>
      <c r="Q21" s="18"/>
      <c r="R21" s="18"/>
      <c r="S21" s="2"/>
      <c r="T21" s="2"/>
      <c r="U21" s="2"/>
      <c r="V21" s="19"/>
      <c r="W21" s="2"/>
      <c r="X21" s="18"/>
      <c r="Y21" s="18"/>
      <c r="Z21" s="2"/>
      <c r="AA21" s="2"/>
      <c r="AB21" s="2"/>
      <c r="AC21" s="19"/>
      <c r="AD21" s="2"/>
      <c r="AE21" s="18"/>
      <c r="AF21" s="18"/>
      <c r="AG21" s="2"/>
      <c r="AH21" s="2"/>
      <c r="AI21" s="11">
        <f t="shared" si="0"/>
        <v>0</v>
      </c>
      <c r="AJ21" s="12">
        <f t="shared" si="1"/>
        <v>0</v>
      </c>
      <c r="AK21" s="13">
        <f t="shared" si="2"/>
        <v>0</v>
      </c>
      <c r="AL21" s="14">
        <f t="shared" si="3"/>
        <v>0</v>
      </c>
      <c r="AM21" s="14">
        <f t="shared" si="4"/>
        <v>0</v>
      </c>
      <c r="AN21" s="15">
        <f t="shared" si="5"/>
        <v>0</v>
      </c>
      <c r="AO21" s="16">
        <f t="shared" si="6"/>
        <v>0</v>
      </c>
      <c r="AP21" s="17"/>
      <c r="AQ21" s="47"/>
      <c r="AR21" s="47"/>
      <c r="AS21" s="48"/>
      <c r="AT21" s="83"/>
      <c r="AU21" s="82"/>
      <c r="AV21" s="83">
        <f t="shared" si="7"/>
        <v>0</v>
      </c>
      <c r="AW21" s="84"/>
      <c r="AX21" s="48"/>
      <c r="AY21" s="50"/>
      <c r="AZ21" s="88"/>
    </row>
    <row r="22" spans="1:52" ht="18" thickBot="1" x14ac:dyDescent="0.25">
      <c r="M22" s="22" t="s">
        <v>46</v>
      </c>
      <c r="N22" s="23" t="s">
        <v>47</v>
      </c>
    </row>
    <row r="23" spans="1:52" ht="19.5" thickBot="1" x14ac:dyDescent="0.25">
      <c r="L23" s="24"/>
      <c r="M23" s="25">
        <v>1</v>
      </c>
      <c r="N23" s="25">
        <f>B2</f>
        <v>0</v>
      </c>
      <c r="AL23" s="43"/>
    </row>
    <row r="24" spans="1:52" ht="24.75" thickBot="1" x14ac:dyDescent="0.3">
      <c r="D24" s="20" t="s">
        <v>81</v>
      </c>
      <c r="L24" s="26"/>
      <c r="M24" s="16">
        <v>2</v>
      </c>
      <c r="N24" s="16">
        <f t="shared" ref="N24:N25" si="8">B3</f>
        <v>0</v>
      </c>
      <c r="P24" s="51" t="s">
        <v>35</v>
      </c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1" t="s">
        <v>35</v>
      </c>
      <c r="AE24" s="52"/>
      <c r="AF24" s="53"/>
      <c r="AP24" s="54" t="s">
        <v>50</v>
      </c>
      <c r="AQ24" s="55">
        <f t="shared" ref="AQ24:AQ33" si="9">COUNTIF(AK$2:AK$19,AP24)</f>
        <v>0</v>
      </c>
    </row>
    <row r="25" spans="1:52" ht="21.75" thickBot="1" x14ac:dyDescent="0.25">
      <c r="D25" s="89"/>
      <c r="L25" s="27"/>
      <c r="M25" s="28">
        <v>3</v>
      </c>
      <c r="N25" s="28">
        <f t="shared" si="8"/>
        <v>0</v>
      </c>
      <c r="P25" s="56" t="s">
        <v>36</v>
      </c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7"/>
      <c r="AP25" s="58" t="s">
        <v>51</v>
      </c>
      <c r="AQ25" s="59">
        <f t="shared" si="9"/>
        <v>0</v>
      </c>
    </row>
    <row r="26" spans="1:52" ht="21.75" thickBot="1" x14ac:dyDescent="0.25">
      <c r="D26" s="89"/>
      <c r="L26" s="29"/>
      <c r="M26" s="25">
        <v>16</v>
      </c>
      <c r="N26" s="25">
        <f>B17</f>
        <v>0</v>
      </c>
      <c r="P26" s="60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61" t="s">
        <v>37</v>
      </c>
      <c r="AE26" s="52"/>
      <c r="AF26" s="53"/>
      <c r="AP26" s="58" t="s">
        <v>52</v>
      </c>
      <c r="AQ26" s="59">
        <f t="shared" si="9"/>
        <v>0</v>
      </c>
    </row>
    <row r="27" spans="1:52" ht="21.75" thickBot="1" x14ac:dyDescent="0.25">
      <c r="D27" s="89"/>
      <c r="L27" s="30"/>
      <c r="M27" s="16">
        <v>17</v>
      </c>
      <c r="N27" s="16">
        <f t="shared" ref="N27:N28" si="10">B18</f>
        <v>0</v>
      </c>
      <c r="P27" s="61" t="s">
        <v>37</v>
      </c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7"/>
      <c r="AP27" s="58" t="s">
        <v>53</v>
      </c>
      <c r="AQ27" s="59">
        <f t="shared" si="9"/>
        <v>0</v>
      </c>
    </row>
    <row r="28" spans="1:52" ht="21.75" thickBot="1" x14ac:dyDescent="0.25">
      <c r="L28" s="30"/>
      <c r="M28" s="28">
        <v>18</v>
      </c>
      <c r="N28" s="28">
        <f t="shared" si="10"/>
        <v>0</v>
      </c>
      <c r="P28" s="60" t="s">
        <v>38</v>
      </c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7"/>
      <c r="AP28" s="58" t="s">
        <v>54</v>
      </c>
      <c r="AQ28" s="59">
        <f t="shared" si="9"/>
        <v>0</v>
      </c>
    </row>
    <row r="29" spans="1:52" ht="21.75" thickBot="1" x14ac:dyDescent="0.25">
      <c r="L29" s="31"/>
      <c r="M29" s="25">
        <v>4</v>
      </c>
      <c r="N29" s="25">
        <f>B5</f>
        <v>0</v>
      </c>
      <c r="P29" s="60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62"/>
      <c r="AD29" s="62"/>
      <c r="AE29" s="62"/>
      <c r="AF29" s="57"/>
      <c r="AG29" s="63"/>
      <c r="AH29" s="63"/>
      <c r="AI29" s="63"/>
      <c r="AJ29" s="63"/>
      <c r="AP29" s="64" t="s">
        <v>55</v>
      </c>
      <c r="AQ29" s="65">
        <f t="shared" si="9"/>
        <v>0</v>
      </c>
      <c r="AR29" s="21">
        <f>SUM(AQ24:AQ29)</f>
        <v>0</v>
      </c>
    </row>
    <row r="30" spans="1:52" ht="21.75" thickBot="1" x14ac:dyDescent="0.25">
      <c r="L30" s="32"/>
      <c r="M30" s="16">
        <v>5</v>
      </c>
      <c r="N30" s="16">
        <f t="shared" ref="N30:N31" si="11">B6</f>
        <v>0</v>
      </c>
      <c r="P30" s="61" t="s">
        <v>39</v>
      </c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62"/>
      <c r="AD30" s="61" t="s">
        <v>39</v>
      </c>
      <c r="AE30" s="62"/>
      <c r="AF30" s="53"/>
      <c r="AG30" s="63"/>
      <c r="AH30" s="63"/>
      <c r="AI30" s="63"/>
      <c r="AJ30" s="63"/>
      <c r="AP30" s="66" t="s">
        <v>56</v>
      </c>
      <c r="AQ30" s="67">
        <f t="shared" si="9"/>
        <v>0</v>
      </c>
    </row>
    <row r="31" spans="1:52" ht="21.75" thickBot="1" x14ac:dyDescent="0.25">
      <c r="L31" s="32"/>
      <c r="M31" s="16">
        <v>6</v>
      </c>
      <c r="N31" s="16">
        <f t="shared" si="11"/>
        <v>0</v>
      </c>
      <c r="P31" s="60" t="s">
        <v>40</v>
      </c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62"/>
      <c r="AD31" s="62"/>
      <c r="AE31" s="62"/>
      <c r="AF31" s="53"/>
      <c r="AG31" s="63"/>
      <c r="AH31" s="63"/>
      <c r="AI31" s="63"/>
      <c r="AJ31" s="63"/>
      <c r="AP31" s="58" t="s">
        <v>57</v>
      </c>
      <c r="AQ31" s="59">
        <f t="shared" si="9"/>
        <v>0</v>
      </c>
    </row>
    <row r="32" spans="1:52" ht="21.75" thickBot="1" x14ac:dyDescent="0.25">
      <c r="L32" s="32"/>
      <c r="M32" s="16">
        <v>11</v>
      </c>
      <c r="N32" s="16">
        <f>B12</f>
        <v>0</v>
      </c>
      <c r="P32" s="60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62"/>
      <c r="AD32" s="62"/>
      <c r="AE32" s="62"/>
      <c r="AF32" s="57"/>
      <c r="AG32" s="63"/>
      <c r="AH32" s="63"/>
      <c r="AI32" s="63"/>
      <c r="AJ32" s="63"/>
      <c r="AP32" s="58" t="s">
        <v>58</v>
      </c>
      <c r="AQ32" s="59">
        <f t="shared" si="9"/>
        <v>0</v>
      </c>
    </row>
    <row r="33" spans="3:51" ht="21.75" thickBot="1" x14ac:dyDescent="0.25">
      <c r="L33" s="33"/>
      <c r="M33" s="34">
        <v>12</v>
      </c>
      <c r="N33" s="34">
        <f t="shared" ref="N33:N34" si="12">B13</f>
        <v>0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7"/>
      <c r="AP33" s="68" t="s">
        <v>59</v>
      </c>
      <c r="AQ33" s="69">
        <f t="shared" si="9"/>
        <v>0</v>
      </c>
      <c r="AR33" s="21">
        <f>SUM(AQ30:AQ33)</f>
        <v>0</v>
      </c>
    </row>
    <row r="34" spans="3:51" ht="21.75" thickBot="1" x14ac:dyDescent="0.25">
      <c r="L34" s="35"/>
      <c r="M34" s="28">
        <v>13</v>
      </c>
      <c r="N34" s="28">
        <f t="shared" si="12"/>
        <v>0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7"/>
      <c r="AP34" s="70" t="s">
        <v>60</v>
      </c>
      <c r="AQ34" s="71">
        <f>SUM(AQ24:AQ33)</f>
        <v>0</v>
      </c>
    </row>
    <row r="35" spans="3:51" ht="19.5" thickBot="1" x14ac:dyDescent="0.25">
      <c r="L35" s="36"/>
      <c r="M35" s="37">
        <v>7</v>
      </c>
      <c r="N35" s="37">
        <f>B8</f>
        <v>0</v>
      </c>
      <c r="P35" s="61" t="s">
        <v>41</v>
      </c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61" t="s">
        <v>41</v>
      </c>
      <c r="AE35" s="52"/>
      <c r="AF35" s="53"/>
    </row>
    <row r="36" spans="3:51" ht="19.5" thickBot="1" x14ac:dyDescent="0.25">
      <c r="L36" s="38"/>
      <c r="M36" s="34">
        <v>8</v>
      </c>
      <c r="N36" s="34">
        <f t="shared" ref="N36:N38" si="13">B9</f>
        <v>0</v>
      </c>
      <c r="P36" s="60" t="s">
        <v>42</v>
      </c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3"/>
    </row>
    <row r="37" spans="3:51" ht="19.5" thickBot="1" x14ac:dyDescent="0.25">
      <c r="L37" s="39"/>
      <c r="M37" s="16">
        <v>9</v>
      </c>
      <c r="N37" s="16">
        <f t="shared" si="13"/>
        <v>0</v>
      </c>
      <c r="P37" s="60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7"/>
    </row>
    <row r="38" spans="3:51" ht="19.5" thickBot="1" x14ac:dyDescent="0.25">
      <c r="L38" s="40"/>
      <c r="M38" s="41">
        <v>10</v>
      </c>
      <c r="N38" s="41">
        <f t="shared" si="13"/>
        <v>0</v>
      </c>
      <c r="P38" s="61" t="s">
        <v>43</v>
      </c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7"/>
    </row>
    <row r="39" spans="3:51" ht="17.25" x14ac:dyDescent="0.15">
      <c r="P39" s="60" t="s">
        <v>44</v>
      </c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</row>
    <row r="40" spans="3:51" ht="13.5" customHeight="1" x14ac:dyDescent="0.15">
      <c r="C40" s="93" t="s">
        <v>61</v>
      </c>
      <c r="D40" s="94"/>
      <c r="E40" s="95"/>
      <c r="AU40" s="72"/>
      <c r="AY40" s="72"/>
    </row>
    <row r="41" spans="3:51" ht="14.25" customHeight="1" x14ac:dyDescent="0.15">
      <c r="C41" s="96"/>
      <c r="D41" s="97"/>
      <c r="E41" s="98"/>
      <c r="AU41" s="72"/>
      <c r="AY41" s="72"/>
    </row>
    <row r="42" spans="3:51" ht="20.25" customHeight="1" x14ac:dyDescent="0.15">
      <c r="C42" s="73"/>
      <c r="D42" s="99" t="s">
        <v>62</v>
      </c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1"/>
      <c r="P42" s="99" t="s">
        <v>63</v>
      </c>
      <c r="Q42" s="100"/>
      <c r="R42" s="100"/>
      <c r="S42" s="100"/>
      <c r="T42" s="100"/>
      <c r="U42" s="100"/>
      <c r="V42" s="100"/>
      <c r="W42" s="100"/>
      <c r="X42" s="100"/>
      <c r="Y42" s="100"/>
      <c r="Z42" s="101"/>
      <c r="AA42" s="74" t="s">
        <v>64</v>
      </c>
      <c r="AU42" s="72"/>
      <c r="AY42" s="72"/>
    </row>
    <row r="43" spans="3:51" ht="20.25" customHeight="1" x14ac:dyDescent="0.2">
      <c r="C43" s="75">
        <v>1</v>
      </c>
      <c r="D43" s="90" t="s">
        <v>65</v>
      </c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2"/>
      <c r="P43" s="90" t="s">
        <v>66</v>
      </c>
      <c r="Q43" s="91"/>
      <c r="R43" s="91"/>
      <c r="S43" s="91"/>
      <c r="T43" s="91"/>
      <c r="U43" s="91"/>
      <c r="V43" s="91"/>
      <c r="W43" s="91"/>
      <c r="X43" s="91"/>
      <c r="Y43" s="91"/>
      <c r="Z43" s="92"/>
      <c r="AA43" s="76"/>
      <c r="AU43" s="72"/>
      <c r="AY43" s="72"/>
    </row>
    <row r="44" spans="3:51" ht="20.25" customHeight="1" x14ac:dyDescent="0.2">
      <c r="C44" s="75">
        <v>2</v>
      </c>
      <c r="D44" s="90" t="s">
        <v>67</v>
      </c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2"/>
      <c r="P44" s="90" t="s">
        <v>68</v>
      </c>
      <c r="Q44" s="91"/>
      <c r="R44" s="91"/>
      <c r="S44" s="91"/>
      <c r="T44" s="91"/>
      <c r="U44" s="91"/>
      <c r="V44" s="91"/>
      <c r="W44" s="91"/>
      <c r="X44" s="91"/>
      <c r="Y44" s="91"/>
      <c r="Z44" s="92"/>
      <c r="AA44" s="76"/>
      <c r="AU44" s="72"/>
      <c r="AY44" s="72"/>
    </row>
    <row r="45" spans="3:51" ht="20.25" customHeight="1" x14ac:dyDescent="0.2">
      <c r="C45" s="75">
        <v>3</v>
      </c>
      <c r="D45" s="90" t="s">
        <v>69</v>
      </c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2"/>
      <c r="P45" s="90" t="s">
        <v>70</v>
      </c>
      <c r="Q45" s="91"/>
      <c r="R45" s="91"/>
      <c r="S45" s="91"/>
      <c r="T45" s="91"/>
      <c r="U45" s="91"/>
      <c r="V45" s="91"/>
      <c r="W45" s="91"/>
      <c r="X45" s="91"/>
      <c r="Y45" s="91"/>
      <c r="Z45" s="92"/>
      <c r="AA45" s="76"/>
      <c r="AU45" s="72"/>
      <c r="AY45" s="72"/>
    </row>
    <row r="46" spans="3:51" ht="20.25" customHeight="1" x14ac:dyDescent="0.2">
      <c r="C46" s="75">
        <v>4</v>
      </c>
      <c r="D46" s="90" t="s">
        <v>71</v>
      </c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2"/>
      <c r="P46" s="90" t="s">
        <v>72</v>
      </c>
      <c r="Q46" s="91"/>
      <c r="R46" s="91"/>
      <c r="S46" s="91"/>
      <c r="T46" s="91"/>
      <c r="U46" s="91"/>
      <c r="V46" s="91"/>
      <c r="W46" s="91"/>
      <c r="X46" s="91"/>
      <c r="Y46" s="91"/>
      <c r="Z46" s="92"/>
      <c r="AA46" s="76"/>
      <c r="AU46" s="72"/>
      <c r="AY46" s="72"/>
    </row>
    <row r="47" spans="3:51" ht="20.25" customHeight="1" x14ac:dyDescent="0.2">
      <c r="C47" s="75">
        <v>5</v>
      </c>
      <c r="D47" s="90" t="s">
        <v>73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2"/>
      <c r="P47" s="90" t="s">
        <v>74</v>
      </c>
      <c r="Q47" s="91"/>
      <c r="R47" s="91"/>
      <c r="S47" s="91"/>
      <c r="T47" s="91"/>
      <c r="U47" s="91"/>
      <c r="V47" s="91"/>
      <c r="W47" s="91"/>
      <c r="X47" s="91"/>
      <c r="Y47" s="91"/>
      <c r="Z47" s="92"/>
      <c r="AA47" s="76"/>
      <c r="AU47" s="72"/>
      <c r="AY47" s="72"/>
    </row>
    <row r="48" spans="3:51" ht="20.25" customHeight="1" x14ac:dyDescent="0.2">
      <c r="C48" s="75">
        <v>6</v>
      </c>
      <c r="D48" s="90" t="s">
        <v>75</v>
      </c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2"/>
      <c r="P48" s="90" t="s">
        <v>76</v>
      </c>
      <c r="Q48" s="91"/>
      <c r="R48" s="91"/>
      <c r="S48" s="91"/>
      <c r="T48" s="91"/>
      <c r="U48" s="91"/>
      <c r="V48" s="91"/>
      <c r="W48" s="91"/>
      <c r="X48" s="91"/>
      <c r="Y48" s="91"/>
      <c r="Z48" s="92"/>
      <c r="AA48" s="76"/>
      <c r="AU48" s="72"/>
      <c r="AY48" s="72"/>
    </row>
    <row r="49" spans="3:51" ht="20.25" customHeight="1" x14ac:dyDescent="0.2">
      <c r="C49" s="75">
        <v>7</v>
      </c>
      <c r="D49" s="90" t="s">
        <v>77</v>
      </c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2"/>
      <c r="P49" s="90" t="s">
        <v>78</v>
      </c>
      <c r="Q49" s="91"/>
      <c r="R49" s="91"/>
      <c r="S49" s="91"/>
      <c r="T49" s="91"/>
      <c r="U49" s="91"/>
      <c r="V49" s="91"/>
      <c r="W49" s="91"/>
      <c r="X49" s="91"/>
      <c r="Y49" s="91"/>
      <c r="Z49" s="92"/>
      <c r="AA49" s="76"/>
      <c r="AU49" s="72"/>
      <c r="AY49" s="72"/>
    </row>
    <row r="50" spans="3:51" ht="20.25" customHeight="1" x14ac:dyDescent="0.2">
      <c r="C50" s="75">
        <v>8</v>
      </c>
      <c r="D50" s="90" t="s">
        <v>79</v>
      </c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2"/>
      <c r="P50" s="90" t="s">
        <v>80</v>
      </c>
      <c r="Q50" s="91"/>
      <c r="R50" s="91"/>
      <c r="S50" s="91"/>
      <c r="T50" s="91"/>
      <c r="U50" s="91"/>
      <c r="V50" s="91"/>
      <c r="W50" s="91"/>
      <c r="X50" s="91"/>
      <c r="Y50" s="91"/>
      <c r="Z50" s="92"/>
      <c r="AA50" s="76"/>
      <c r="AU50" s="72"/>
      <c r="AY50" s="72"/>
    </row>
  </sheetData>
  <autoFilter ref="A1:AP1" xr:uid="{00000000-0001-0000-0100-000000000000}"/>
  <mergeCells count="19">
    <mergeCell ref="D48:O48"/>
    <mergeCell ref="P48:Z48"/>
    <mergeCell ref="D49:O49"/>
    <mergeCell ref="P49:Z49"/>
    <mergeCell ref="D50:O50"/>
    <mergeCell ref="P50:Z50"/>
    <mergeCell ref="D45:O45"/>
    <mergeCell ref="P45:Z45"/>
    <mergeCell ref="D46:O46"/>
    <mergeCell ref="P46:Z46"/>
    <mergeCell ref="D47:O47"/>
    <mergeCell ref="P47:Z47"/>
    <mergeCell ref="D44:O44"/>
    <mergeCell ref="P44:Z44"/>
    <mergeCell ref="C40:E41"/>
    <mergeCell ref="D42:O42"/>
    <mergeCell ref="P42:Z42"/>
    <mergeCell ref="D43:O43"/>
    <mergeCell ref="P43:Z43"/>
  </mergeCells>
  <phoneticPr fontId="2"/>
  <conditionalFormatting sqref="E2:E21">
    <cfRule type="containsText" dxfId="160" priority="27" operator="containsText" text="牝">
      <formula>NOT(ISERROR(SEARCH("牝",E2)))</formula>
    </cfRule>
    <cfRule type="containsText" dxfId="159" priority="26" operator="containsText" text="セ">
      <formula>NOT(ISERROR(SEARCH("セ",E2)))</formula>
    </cfRule>
    <cfRule type="containsText" dxfId="158" priority="25" operator="containsText" text="せん">
      <formula>NOT(ISERROR(SEARCH("せん",E2)))</formula>
    </cfRule>
  </conditionalFormatting>
  <conditionalFormatting sqref="H2:H16 O2:O16 V2:V16 AC2:AC16">
    <cfRule type="containsText" dxfId="157" priority="36" operator="containsText" text="中京">
      <formula>NOT(ISERROR(SEARCH("中京",H2)))</formula>
    </cfRule>
  </conditionalFormatting>
  <conditionalFormatting sqref="H17:H21 O17:O21 V17:V21 AC17:AC21">
    <cfRule type="containsText" dxfId="156" priority="13" operator="containsText" text="中山">
      <formula>NOT(ISERROR(SEARCH("中山",H17)))</formula>
    </cfRule>
  </conditionalFormatting>
  <conditionalFormatting sqref="J2:J21 Q2:Q21 X2:X21 AE2:AE21">
    <cfRule type="cellIs" dxfId="155" priority="22" operator="between">
      <formula>3</formula>
      <formula>4</formula>
    </cfRule>
    <cfRule type="cellIs" dxfId="154" priority="23" operator="equal">
      <formula>2</formula>
    </cfRule>
    <cfRule type="cellIs" dxfId="153" priority="24" operator="equal">
      <formula>1</formula>
    </cfRule>
  </conditionalFormatting>
  <conditionalFormatting sqref="K2:K21 R2:R21 Y2:Y21 AF2:AF21">
    <cfRule type="cellIs" dxfId="152" priority="21" operator="lessThanOrEqual">
      <formula>0.6</formula>
    </cfRule>
  </conditionalFormatting>
  <conditionalFormatting sqref="AI2:AI21">
    <cfRule type="top10" dxfId="151" priority="12" bottom="1" rank="4"/>
  </conditionalFormatting>
  <conditionalFormatting sqref="AJ2:AJ16">
    <cfRule type="top10" dxfId="150" priority="40" bottom="1" rank="4"/>
  </conditionalFormatting>
  <conditionalFormatting sqref="AJ17:AJ19">
    <cfRule type="top10" dxfId="149" priority="35" bottom="1" rank="4"/>
  </conditionalFormatting>
  <conditionalFormatting sqref="AJ20">
    <cfRule type="top10" dxfId="148" priority="31" bottom="1" rank="4"/>
  </conditionalFormatting>
  <conditionalFormatting sqref="AJ21">
    <cfRule type="top10" dxfId="147" priority="20" bottom="1" rank="4"/>
  </conditionalFormatting>
  <conditionalFormatting sqref="AK2:AK16">
    <cfRule type="top10" dxfId="146" priority="38" rank="4"/>
  </conditionalFormatting>
  <conditionalFormatting sqref="AK17:AK19">
    <cfRule type="top10" dxfId="145" priority="33" rank="4"/>
  </conditionalFormatting>
  <conditionalFormatting sqref="AK20">
    <cfRule type="top10" dxfId="144" priority="29" rank="4"/>
  </conditionalFormatting>
  <conditionalFormatting sqref="AK21">
    <cfRule type="top10" dxfId="143" priority="18" rank="4"/>
  </conditionalFormatting>
  <conditionalFormatting sqref="AL23">
    <cfRule type="containsText" dxfId="142" priority="49" operator="containsText" text="逃げ">
      <formula>NOT(ISERROR(SEARCH("逃げ",AL23)))</formula>
    </cfRule>
    <cfRule type="containsText" dxfId="141" priority="48" operator="containsText" text="先行">
      <formula>NOT(ISERROR(SEARCH("先行",AL23)))</formula>
    </cfRule>
    <cfRule type="containsText" dxfId="140" priority="50" operator="containsText" text="先行差し">
      <formula>NOT(ISERROR(SEARCH("先行差し",AL23)))</formula>
    </cfRule>
  </conditionalFormatting>
  <conditionalFormatting sqref="AL2:AN16">
    <cfRule type="top10" dxfId="139" priority="37" rank="4"/>
  </conditionalFormatting>
  <conditionalFormatting sqref="AL17:AN19">
    <cfRule type="top10" dxfId="138" priority="32" rank="4"/>
  </conditionalFormatting>
  <conditionalFormatting sqref="AL20:AN20">
    <cfRule type="top10" dxfId="137" priority="28" rank="4"/>
  </conditionalFormatting>
  <conditionalFormatting sqref="AL21:AN21">
    <cfRule type="top10" dxfId="136" priority="17" rank="4"/>
  </conditionalFormatting>
  <conditionalFormatting sqref="AO2:AO16">
    <cfRule type="top10" dxfId="135" priority="39" rank="4"/>
  </conditionalFormatting>
  <conditionalFormatting sqref="AO17:AO19">
    <cfRule type="top10" dxfId="134" priority="34" rank="4"/>
  </conditionalFormatting>
  <conditionalFormatting sqref="AO20">
    <cfRule type="top10" dxfId="133" priority="30" rank="4"/>
  </conditionalFormatting>
  <conditionalFormatting sqref="AO21">
    <cfRule type="top10" dxfId="132" priority="19" rank="4"/>
  </conditionalFormatting>
  <conditionalFormatting sqref="AP2:AP21">
    <cfRule type="containsText" dxfId="131" priority="16" operator="containsText" text="先行差し">
      <formula>NOT(ISERROR(SEARCH("先行差し",AP2)))</formula>
    </cfRule>
    <cfRule type="containsText" dxfId="130" priority="15" operator="containsText" text="逃げ">
      <formula>NOT(ISERROR(SEARCH("逃げ",AP2)))</formula>
    </cfRule>
    <cfRule type="containsText" dxfId="129" priority="14" operator="containsText" text="先行">
      <formula>NOT(ISERROR(SEARCH("先行",AP2)))</formula>
    </cfRule>
  </conditionalFormatting>
  <conditionalFormatting sqref="AQ2:AQ9">
    <cfRule type="containsText" dxfId="128" priority="43" operator="containsText" text="逃げ">
      <formula>NOT(ISERROR(SEARCH("逃げ",AQ2)))</formula>
    </cfRule>
    <cfRule type="containsText" dxfId="127" priority="44" operator="containsText" text="先行差し">
      <formula>NOT(ISERROR(SEARCH("先行差し",AQ2)))</formula>
    </cfRule>
    <cfRule type="containsText" dxfId="126" priority="42" operator="containsText" text="先行">
      <formula>NOT(ISERROR(SEARCH("先行",AQ2)))</formula>
    </cfRule>
  </conditionalFormatting>
  <conditionalFormatting sqref="AQ2:AQ21">
    <cfRule type="top10" dxfId="125" priority="41" bottom="1" rank="4"/>
  </conditionalFormatting>
  <conditionalFormatting sqref="AR2:AR21">
    <cfRule type="top10" dxfId="124" priority="10" bottom="1" rank="4"/>
  </conditionalFormatting>
  <conditionalFormatting sqref="AS2:AS21">
    <cfRule type="containsText" dxfId="123" priority="6" operator="containsText" text="先行">
      <formula>NOT(ISERROR(SEARCH("先行",AS2)))</formula>
    </cfRule>
    <cfRule type="containsText" dxfId="122" priority="8" operator="containsText" text="先行差し">
      <formula>NOT(ISERROR(SEARCH("先行差し",AS2)))</formula>
    </cfRule>
    <cfRule type="containsText" dxfId="121" priority="7" operator="containsText" text="逃げ">
      <formula>NOT(ISERROR(SEARCH("逃げ",AS2)))</formula>
    </cfRule>
  </conditionalFormatting>
  <conditionalFormatting sqref="AT2:AT21">
    <cfRule type="cellIs" dxfId="120" priority="11" operator="greaterThanOrEqual">
      <formula>0.6</formula>
    </cfRule>
  </conditionalFormatting>
  <conditionalFormatting sqref="AU2:AU21">
    <cfRule type="top10" dxfId="119" priority="9" bottom="1" rank="4"/>
  </conditionalFormatting>
  <conditionalFormatting sqref="AV2:AV21">
    <cfRule type="top10" dxfId="118" priority="2" bottom="1" rank="4"/>
  </conditionalFormatting>
  <conditionalFormatting sqref="AV2:AX21">
    <cfRule type="containsText" dxfId="117" priority="5" operator="containsText" text="先行差し">
      <formula>NOT(ISERROR(SEARCH("先行差し",AV2)))</formula>
    </cfRule>
    <cfRule type="containsText" dxfId="116" priority="4" operator="containsText" text="逃げ">
      <formula>NOT(ISERROR(SEARCH("逃げ",AV2)))</formula>
    </cfRule>
    <cfRule type="containsText" dxfId="115" priority="3" operator="containsText" text="先行">
      <formula>NOT(ISERROR(SEARCH("先行",AV2)))</formula>
    </cfRule>
  </conditionalFormatting>
  <conditionalFormatting sqref="AX2:AX12">
    <cfRule type="containsText" dxfId="114" priority="1" operator="containsText" text="B">
      <formula>NOT(ISERROR(SEARCH("B",AX2)))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50"/>
  <sheetViews>
    <sheetView zoomScale="55" zoomScaleNormal="5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25" sqref="D25:D27"/>
    </sheetView>
  </sheetViews>
  <sheetFormatPr defaultRowHeight="13.5" x14ac:dyDescent="0.15"/>
  <cols>
    <col min="1" max="3" width="5.875" customWidth="1"/>
    <col min="4" max="4" width="17.375" customWidth="1"/>
    <col min="6" max="6" width="7" customWidth="1"/>
    <col min="10" max="11" width="6.5" customWidth="1"/>
    <col min="13" max="13" width="6.25" customWidth="1"/>
    <col min="17" max="18" width="5.875" customWidth="1"/>
    <col min="20" max="20" width="5.875" customWidth="1"/>
    <col min="24" max="25" width="5.625" customWidth="1"/>
    <col min="27" max="27" width="6.25" customWidth="1"/>
    <col min="31" max="32" width="5.875" customWidth="1"/>
    <col min="33" max="33" width="11" customWidth="1"/>
    <col min="34" max="34" width="6.5" customWidth="1"/>
    <col min="35" max="35" width="8" customWidth="1"/>
    <col min="36" max="36" width="7.375" customWidth="1"/>
    <col min="37" max="40" width="4.75" customWidth="1"/>
    <col min="42" max="42" width="14.25" customWidth="1"/>
  </cols>
  <sheetData>
    <row r="1" spans="1:52" ht="19.5" thickBot="1" x14ac:dyDescent="0.2">
      <c r="A1" s="3" t="s">
        <v>85</v>
      </c>
      <c r="B1" s="4" t="s">
        <v>0</v>
      </c>
      <c r="C1" s="4" t="s">
        <v>32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6" t="s">
        <v>33</v>
      </c>
      <c r="AJ1" s="7" t="s">
        <v>34</v>
      </c>
      <c r="AK1" s="6" t="s">
        <v>86</v>
      </c>
      <c r="AL1" s="8" t="s">
        <v>87</v>
      </c>
      <c r="AM1" s="8" t="s">
        <v>88</v>
      </c>
      <c r="AN1" s="7" t="s">
        <v>89</v>
      </c>
      <c r="AO1" s="9" t="s">
        <v>90</v>
      </c>
      <c r="AP1" s="10" t="s">
        <v>91</v>
      </c>
      <c r="AQ1" s="10" t="s">
        <v>48</v>
      </c>
      <c r="AR1" s="77" t="s">
        <v>92</v>
      </c>
      <c r="AS1" s="44" t="s">
        <v>93</v>
      </c>
      <c r="AT1" s="78" t="s">
        <v>94</v>
      </c>
      <c r="AU1" s="79" t="s">
        <v>95</v>
      </c>
      <c r="AV1" s="78" t="s">
        <v>34</v>
      </c>
      <c r="AW1" s="80" t="s">
        <v>96</v>
      </c>
      <c r="AX1" s="79"/>
      <c r="AY1" s="45" t="s">
        <v>49</v>
      </c>
      <c r="AZ1" s="87"/>
    </row>
    <row r="2" spans="1:52" ht="36.75" customHeight="1" x14ac:dyDescent="0.2">
      <c r="A2" s="2"/>
      <c r="B2" s="2"/>
      <c r="C2" s="2"/>
      <c r="D2" s="2"/>
      <c r="E2" s="5"/>
      <c r="F2" s="2"/>
      <c r="G2" s="2"/>
      <c r="H2" s="2"/>
      <c r="I2" s="2"/>
      <c r="J2" s="18"/>
      <c r="K2" s="18"/>
      <c r="L2" s="2"/>
      <c r="M2" s="2"/>
      <c r="N2" s="2"/>
      <c r="O2" s="2"/>
      <c r="P2" s="2"/>
      <c r="Q2" s="18"/>
      <c r="R2" s="18"/>
      <c r="S2" s="2"/>
      <c r="T2" s="2"/>
      <c r="U2" s="2"/>
      <c r="V2" s="2"/>
      <c r="W2" s="2"/>
      <c r="X2" s="18"/>
      <c r="Y2" s="18"/>
      <c r="Z2" s="2"/>
      <c r="AA2" s="2"/>
      <c r="AB2" s="2"/>
      <c r="AC2" s="2"/>
      <c r="AD2" s="2"/>
      <c r="AE2" s="18"/>
      <c r="AF2" s="18"/>
      <c r="AG2" s="2"/>
      <c r="AH2" s="2"/>
      <c r="AI2" s="11">
        <f t="shared" ref="AI2:AI21" si="0">MIN(AH2,AA2,T2,M2)</f>
        <v>0</v>
      </c>
      <c r="AJ2" s="12">
        <f t="shared" ref="AJ2:AJ21" si="1">SUM(K2,R2,Y2,AF2)</f>
        <v>0</v>
      </c>
      <c r="AK2" s="13">
        <f t="shared" ref="AK2:AK21" si="2">COUNTIF(AE2,1)+COUNTIF(X2,1)+COUNTIF(Q2,1)+COUNTIF(J2,1)</f>
        <v>0</v>
      </c>
      <c r="AL2" s="14">
        <f t="shared" ref="AL2:AL21" si="3">COUNTIF(AE2,2)+COUNTIF(X2,2)+COUNTIF(Q2,2)+COUNTIF(J2,2)</f>
        <v>0</v>
      </c>
      <c r="AM2" s="14">
        <f t="shared" ref="AM2:AM21" si="4">COUNTIF(AE2,3)+COUNTIF(X2,3)+COUNTIF(Q2,3)+COUNTIF(J2,3)</f>
        <v>0</v>
      </c>
      <c r="AN2" s="15">
        <f t="shared" ref="AN2:AN21" si="5">COUNTIF(AE2,4)+COUNTIF(X2,4)+COUNTIF(Q2,4)+COUNTIF(J2,4)</f>
        <v>0</v>
      </c>
      <c r="AO2" s="16">
        <f t="shared" ref="AO2:AO21" si="6">SUM(AK2:AN2)</f>
        <v>0</v>
      </c>
      <c r="AP2" s="17"/>
      <c r="AQ2" s="46"/>
      <c r="AR2" s="47"/>
      <c r="AS2" s="48"/>
      <c r="AT2" s="81"/>
      <c r="AU2" s="82"/>
      <c r="AV2" s="83">
        <f t="shared" ref="AV2:AV21" si="7">SUM(J2,Q2,X2,AE2)</f>
        <v>0</v>
      </c>
      <c r="AW2" s="84"/>
      <c r="AX2" s="85"/>
      <c r="AY2" s="49"/>
      <c r="AZ2" s="88">
        <v>1</v>
      </c>
    </row>
    <row r="3" spans="1:52" ht="36.75" customHeight="1" x14ac:dyDescent="0.2">
      <c r="A3" s="2"/>
      <c r="B3" s="2"/>
      <c r="C3" s="2"/>
      <c r="D3" s="2"/>
      <c r="E3" s="5"/>
      <c r="F3" s="2"/>
      <c r="G3" s="2"/>
      <c r="H3" s="2"/>
      <c r="I3" s="2"/>
      <c r="J3" s="18"/>
      <c r="K3" s="18"/>
      <c r="L3" s="2"/>
      <c r="M3" s="2"/>
      <c r="N3" s="2"/>
      <c r="O3" s="2"/>
      <c r="P3" s="2"/>
      <c r="Q3" s="18"/>
      <c r="R3" s="18"/>
      <c r="S3" s="2"/>
      <c r="T3" s="2"/>
      <c r="U3" s="2"/>
      <c r="V3" s="2"/>
      <c r="W3" s="2"/>
      <c r="X3" s="18"/>
      <c r="Y3" s="18"/>
      <c r="Z3" s="2"/>
      <c r="AA3" s="2"/>
      <c r="AB3" s="2"/>
      <c r="AC3" s="2"/>
      <c r="AD3" s="2"/>
      <c r="AE3" s="18"/>
      <c r="AF3" s="18"/>
      <c r="AG3" s="2"/>
      <c r="AH3" s="2"/>
      <c r="AI3" s="11">
        <f t="shared" si="0"/>
        <v>0</v>
      </c>
      <c r="AJ3" s="12">
        <f t="shared" si="1"/>
        <v>0</v>
      </c>
      <c r="AK3" s="13">
        <f t="shared" si="2"/>
        <v>0</v>
      </c>
      <c r="AL3" s="14">
        <f t="shared" si="3"/>
        <v>0</v>
      </c>
      <c r="AM3" s="14">
        <f t="shared" si="4"/>
        <v>0</v>
      </c>
      <c r="AN3" s="15">
        <f t="shared" si="5"/>
        <v>0</v>
      </c>
      <c r="AO3" s="16">
        <f t="shared" si="6"/>
        <v>0</v>
      </c>
      <c r="AP3" s="17"/>
      <c r="AQ3" s="46"/>
      <c r="AR3" s="47"/>
      <c r="AS3" s="48"/>
      <c r="AT3" s="83"/>
      <c r="AU3" s="82"/>
      <c r="AV3" s="83">
        <f t="shared" si="7"/>
        <v>0</v>
      </c>
      <c r="AW3" s="84"/>
      <c r="AX3" s="85"/>
      <c r="AY3" s="50"/>
      <c r="AZ3" s="88">
        <v>2</v>
      </c>
    </row>
    <row r="4" spans="1:52" ht="36.75" customHeight="1" x14ac:dyDescent="0.2">
      <c r="A4" s="2"/>
      <c r="B4" s="2"/>
      <c r="C4" s="2"/>
      <c r="D4" s="2"/>
      <c r="E4" s="5"/>
      <c r="F4" s="2"/>
      <c r="G4" s="2"/>
      <c r="H4" s="2"/>
      <c r="I4" s="2"/>
      <c r="J4" s="18"/>
      <c r="K4" s="18"/>
      <c r="L4" s="2"/>
      <c r="M4" s="2"/>
      <c r="N4" s="2"/>
      <c r="O4" s="2"/>
      <c r="P4" s="2"/>
      <c r="Q4" s="18"/>
      <c r="R4" s="18"/>
      <c r="S4" s="2"/>
      <c r="T4" s="2"/>
      <c r="U4" s="2"/>
      <c r="V4" s="2"/>
      <c r="W4" s="2"/>
      <c r="X4" s="18"/>
      <c r="Y4" s="18"/>
      <c r="Z4" s="2"/>
      <c r="AA4" s="2"/>
      <c r="AB4" s="2"/>
      <c r="AC4" s="2"/>
      <c r="AD4" s="2"/>
      <c r="AE4" s="18"/>
      <c r="AF4" s="18"/>
      <c r="AG4" s="2"/>
      <c r="AH4" s="2"/>
      <c r="AI4" s="11">
        <f t="shared" si="0"/>
        <v>0</v>
      </c>
      <c r="AJ4" s="12">
        <f t="shared" si="1"/>
        <v>0</v>
      </c>
      <c r="AK4" s="13">
        <f t="shared" si="2"/>
        <v>0</v>
      </c>
      <c r="AL4" s="14">
        <f t="shared" si="3"/>
        <v>0</v>
      </c>
      <c r="AM4" s="14">
        <f t="shared" si="4"/>
        <v>0</v>
      </c>
      <c r="AN4" s="15">
        <f t="shared" si="5"/>
        <v>0</v>
      </c>
      <c r="AO4" s="16">
        <f t="shared" si="6"/>
        <v>0</v>
      </c>
      <c r="AP4" s="17"/>
      <c r="AQ4" s="47"/>
      <c r="AR4" s="47"/>
      <c r="AS4" s="48"/>
      <c r="AT4" s="86"/>
      <c r="AU4" s="82"/>
      <c r="AV4" s="83">
        <f t="shared" si="7"/>
        <v>0</v>
      </c>
      <c r="AW4" s="84"/>
      <c r="AX4" s="85"/>
      <c r="AY4" s="50"/>
      <c r="AZ4" s="88">
        <v>3</v>
      </c>
    </row>
    <row r="5" spans="1:52" ht="36.75" customHeight="1" x14ac:dyDescent="0.2">
      <c r="A5" s="2"/>
      <c r="B5" s="2"/>
      <c r="C5" s="2"/>
      <c r="D5" s="2"/>
      <c r="E5" s="5"/>
      <c r="F5" s="2"/>
      <c r="G5" s="2"/>
      <c r="H5" s="2"/>
      <c r="I5" s="2"/>
      <c r="J5" s="18"/>
      <c r="K5" s="18"/>
      <c r="L5" s="2"/>
      <c r="M5" s="2"/>
      <c r="N5" s="2"/>
      <c r="O5" s="2"/>
      <c r="P5" s="2"/>
      <c r="Q5" s="18"/>
      <c r="R5" s="18"/>
      <c r="S5" s="2"/>
      <c r="T5" s="2"/>
      <c r="U5" s="2"/>
      <c r="V5" s="2"/>
      <c r="W5" s="2"/>
      <c r="X5" s="18"/>
      <c r="Y5" s="18"/>
      <c r="Z5" s="2"/>
      <c r="AA5" s="2"/>
      <c r="AB5" s="2"/>
      <c r="AC5" s="2"/>
      <c r="AD5" s="2"/>
      <c r="AE5" s="18"/>
      <c r="AF5" s="18"/>
      <c r="AG5" s="2"/>
      <c r="AH5" s="2"/>
      <c r="AI5" s="11">
        <f t="shared" si="0"/>
        <v>0</v>
      </c>
      <c r="AJ5" s="12">
        <f t="shared" si="1"/>
        <v>0</v>
      </c>
      <c r="AK5" s="13">
        <f t="shared" si="2"/>
        <v>0</v>
      </c>
      <c r="AL5" s="14">
        <f t="shared" si="3"/>
        <v>0</v>
      </c>
      <c r="AM5" s="14">
        <f t="shared" si="4"/>
        <v>0</v>
      </c>
      <c r="AN5" s="15">
        <f t="shared" si="5"/>
        <v>0</v>
      </c>
      <c r="AO5" s="16">
        <f t="shared" si="6"/>
        <v>0</v>
      </c>
      <c r="AP5" s="17"/>
      <c r="AQ5" s="46"/>
      <c r="AR5" s="47"/>
      <c r="AS5" s="48"/>
      <c r="AT5" s="86"/>
      <c r="AU5" s="82"/>
      <c r="AV5" s="83">
        <f t="shared" si="7"/>
        <v>0</v>
      </c>
      <c r="AW5" s="84"/>
      <c r="AX5" s="85"/>
      <c r="AY5" s="50"/>
      <c r="AZ5" s="88">
        <v>4</v>
      </c>
    </row>
    <row r="6" spans="1:52" ht="36.75" customHeight="1" x14ac:dyDescent="0.2">
      <c r="A6" s="2"/>
      <c r="B6" s="2"/>
      <c r="C6" s="2"/>
      <c r="D6" s="2"/>
      <c r="E6" s="5"/>
      <c r="F6" s="2"/>
      <c r="G6" s="2"/>
      <c r="H6" s="2"/>
      <c r="I6" s="2"/>
      <c r="J6" s="18"/>
      <c r="K6" s="18"/>
      <c r="L6" s="2"/>
      <c r="M6" s="2"/>
      <c r="N6" s="2"/>
      <c r="O6" s="2"/>
      <c r="P6" s="2"/>
      <c r="Q6" s="18"/>
      <c r="R6" s="18"/>
      <c r="S6" s="2"/>
      <c r="T6" s="2"/>
      <c r="U6" s="2"/>
      <c r="V6" s="2"/>
      <c r="W6" s="2"/>
      <c r="X6" s="18"/>
      <c r="Y6" s="18"/>
      <c r="Z6" s="2"/>
      <c r="AA6" s="2"/>
      <c r="AB6" s="2"/>
      <c r="AC6" s="2"/>
      <c r="AD6" s="2"/>
      <c r="AE6" s="18"/>
      <c r="AF6" s="18"/>
      <c r="AG6" s="2"/>
      <c r="AH6" s="2"/>
      <c r="AI6" s="11">
        <f t="shared" si="0"/>
        <v>0</v>
      </c>
      <c r="AJ6" s="12">
        <f t="shared" si="1"/>
        <v>0</v>
      </c>
      <c r="AK6" s="13">
        <f t="shared" si="2"/>
        <v>0</v>
      </c>
      <c r="AL6" s="14">
        <f t="shared" si="3"/>
        <v>0</v>
      </c>
      <c r="AM6" s="14">
        <f t="shared" si="4"/>
        <v>0</v>
      </c>
      <c r="AN6" s="15">
        <f t="shared" si="5"/>
        <v>0</v>
      </c>
      <c r="AO6" s="16">
        <f t="shared" si="6"/>
        <v>0</v>
      </c>
      <c r="AP6" s="17"/>
      <c r="AQ6" s="46"/>
      <c r="AR6" s="47"/>
      <c r="AS6" s="48"/>
      <c r="AT6" s="83"/>
      <c r="AU6" s="82"/>
      <c r="AV6" s="83">
        <f t="shared" si="7"/>
        <v>0</v>
      </c>
      <c r="AW6" s="84"/>
      <c r="AX6" s="85"/>
      <c r="AY6" s="50"/>
      <c r="AZ6" s="88">
        <v>5</v>
      </c>
    </row>
    <row r="7" spans="1:52" ht="36.75" customHeight="1" x14ac:dyDescent="0.2">
      <c r="A7" s="2"/>
      <c r="B7" s="2"/>
      <c r="C7" s="2"/>
      <c r="D7" s="2"/>
      <c r="E7" s="5"/>
      <c r="F7" s="2"/>
      <c r="G7" s="2"/>
      <c r="H7" s="2"/>
      <c r="I7" s="2"/>
      <c r="J7" s="18"/>
      <c r="K7" s="18"/>
      <c r="L7" s="2"/>
      <c r="M7" s="2"/>
      <c r="N7" s="2"/>
      <c r="O7" s="2"/>
      <c r="P7" s="2"/>
      <c r="Q7" s="18"/>
      <c r="R7" s="18"/>
      <c r="S7" s="2"/>
      <c r="T7" s="2"/>
      <c r="U7" s="2"/>
      <c r="V7" s="2"/>
      <c r="W7" s="2"/>
      <c r="X7" s="18"/>
      <c r="Y7" s="18"/>
      <c r="Z7" s="2"/>
      <c r="AA7" s="2"/>
      <c r="AB7" s="2"/>
      <c r="AC7" s="2"/>
      <c r="AD7" s="2"/>
      <c r="AE7" s="18"/>
      <c r="AF7" s="18"/>
      <c r="AG7" s="2"/>
      <c r="AH7" s="2"/>
      <c r="AI7" s="11">
        <f t="shared" si="0"/>
        <v>0</v>
      </c>
      <c r="AJ7" s="12">
        <f t="shared" si="1"/>
        <v>0</v>
      </c>
      <c r="AK7" s="13">
        <f t="shared" si="2"/>
        <v>0</v>
      </c>
      <c r="AL7" s="14">
        <f t="shared" si="3"/>
        <v>0</v>
      </c>
      <c r="AM7" s="14">
        <f t="shared" si="4"/>
        <v>0</v>
      </c>
      <c r="AN7" s="15">
        <f t="shared" si="5"/>
        <v>0</v>
      </c>
      <c r="AO7" s="16">
        <f t="shared" si="6"/>
        <v>0</v>
      </c>
      <c r="AP7" s="17"/>
      <c r="AQ7" s="46"/>
      <c r="AR7" s="47"/>
      <c r="AS7" s="48"/>
      <c r="AT7" s="83"/>
      <c r="AU7" s="82"/>
      <c r="AV7" s="83">
        <f t="shared" si="7"/>
        <v>0</v>
      </c>
      <c r="AW7" s="84"/>
      <c r="AX7" s="85"/>
      <c r="AY7" s="50"/>
      <c r="AZ7" s="88">
        <v>6</v>
      </c>
    </row>
    <row r="8" spans="1:52" ht="36.75" customHeight="1" x14ac:dyDescent="0.2">
      <c r="A8" s="2"/>
      <c r="B8" s="2"/>
      <c r="C8" s="2"/>
      <c r="D8" s="2"/>
      <c r="E8" s="5"/>
      <c r="F8" s="2"/>
      <c r="G8" s="2"/>
      <c r="H8" s="2"/>
      <c r="I8" s="2"/>
      <c r="J8" s="18"/>
      <c r="K8" s="18"/>
      <c r="L8" s="2"/>
      <c r="M8" s="2"/>
      <c r="N8" s="2"/>
      <c r="O8" s="2"/>
      <c r="P8" s="2"/>
      <c r="Q8" s="18"/>
      <c r="R8" s="18"/>
      <c r="S8" s="2"/>
      <c r="T8" s="2"/>
      <c r="U8" s="2"/>
      <c r="V8" s="2"/>
      <c r="W8" s="2"/>
      <c r="X8" s="18"/>
      <c r="Y8" s="18"/>
      <c r="Z8" s="2"/>
      <c r="AA8" s="2"/>
      <c r="AB8" s="2"/>
      <c r="AC8" s="2"/>
      <c r="AD8" s="2"/>
      <c r="AE8" s="18"/>
      <c r="AF8" s="18"/>
      <c r="AG8" s="2"/>
      <c r="AH8" s="2"/>
      <c r="AI8" s="11">
        <f t="shared" si="0"/>
        <v>0</v>
      </c>
      <c r="AJ8" s="12">
        <f t="shared" si="1"/>
        <v>0</v>
      </c>
      <c r="AK8" s="13">
        <f t="shared" si="2"/>
        <v>0</v>
      </c>
      <c r="AL8" s="14">
        <f t="shared" si="3"/>
        <v>0</v>
      </c>
      <c r="AM8" s="14">
        <f t="shared" si="4"/>
        <v>0</v>
      </c>
      <c r="AN8" s="15">
        <f t="shared" si="5"/>
        <v>0</v>
      </c>
      <c r="AO8" s="16">
        <f t="shared" si="6"/>
        <v>0</v>
      </c>
      <c r="AP8" s="17"/>
      <c r="AQ8" s="47"/>
      <c r="AR8" s="47"/>
      <c r="AS8" s="48"/>
      <c r="AT8" s="86"/>
      <c r="AU8" s="82"/>
      <c r="AV8" s="83">
        <f t="shared" si="7"/>
        <v>0</v>
      </c>
      <c r="AW8" s="84"/>
      <c r="AX8" s="85"/>
      <c r="AY8" s="50"/>
      <c r="AZ8" s="88">
        <v>7</v>
      </c>
    </row>
    <row r="9" spans="1:52" ht="36.75" customHeight="1" x14ac:dyDescent="0.2">
      <c r="A9" s="2"/>
      <c r="B9" s="2"/>
      <c r="C9" s="2"/>
      <c r="D9" s="2"/>
      <c r="E9" s="5"/>
      <c r="F9" s="2"/>
      <c r="G9" s="2"/>
      <c r="H9" s="2"/>
      <c r="I9" s="2"/>
      <c r="J9" s="18"/>
      <c r="K9" s="18"/>
      <c r="L9" s="2"/>
      <c r="M9" s="2"/>
      <c r="N9" s="2"/>
      <c r="O9" s="2"/>
      <c r="P9" s="2"/>
      <c r="Q9" s="18"/>
      <c r="R9" s="18"/>
      <c r="S9" s="2"/>
      <c r="T9" s="2"/>
      <c r="U9" s="2"/>
      <c r="V9" s="2"/>
      <c r="W9" s="2"/>
      <c r="X9" s="18"/>
      <c r="Y9" s="18"/>
      <c r="Z9" s="2"/>
      <c r="AA9" s="2"/>
      <c r="AB9" s="2"/>
      <c r="AC9" s="2"/>
      <c r="AD9" s="2"/>
      <c r="AE9" s="18"/>
      <c r="AF9" s="18"/>
      <c r="AG9" s="2"/>
      <c r="AH9" s="2"/>
      <c r="AI9" s="11">
        <f t="shared" si="0"/>
        <v>0</v>
      </c>
      <c r="AJ9" s="12">
        <f t="shared" si="1"/>
        <v>0</v>
      </c>
      <c r="AK9" s="13">
        <f t="shared" si="2"/>
        <v>0</v>
      </c>
      <c r="AL9" s="14">
        <f t="shared" si="3"/>
        <v>0</v>
      </c>
      <c r="AM9" s="14">
        <f t="shared" si="4"/>
        <v>0</v>
      </c>
      <c r="AN9" s="15">
        <f t="shared" si="5"/>
        <v>0</v>
      </c>
      <c r="AO9" s="16">
        <f t="shared" si="6"/>
        <v>0</v>
      </c>
      <c r="AP9" s="17"/>
      <c r="AQ9" s="47"/>
      <c r="AR9" s="47"/>
      <c r="AS9" s="48"/>
      <c r="AT9" s="83"/>
      <c r="AU9" s="82"/>
      <c r="AV9" s="83">
        <f t="shared" si="7"/>
        <v>0</v>
      </c>
      <c r="AW9" s="84"/>
      <c r="AX9" s="85"/>
      <c r="AY9" s="50"/>
      <c r="AZ9" s="88">
        <v>8</v>
      </c>
    </row>
    <row r="10" spans="1:52" ht="36.75" customHeight="1" x14ac:dyDescent="0.2">
      <c r="A10" s="2"/>
      <c r="B10" s="2"/>
      <c r="C10" s="2"/>
      <c r="D10" s="2"/>
      <c r="E10" s="5"/>
      <c r="F10" s="2"/>
      <c r="G10" s="2"/>
      <c r="H10" s="2"/>
      <c r="I10" s="2"/>
      <c r="J10" s="18"/>
      <c r="K10" s="18"/>
      <c r="L10" s="2"/>
      <c r="M10" s="2"/>
      <c r="N10" s="2"/>
      <c r="O10" s="2"/>
      <c r="P10" s="2"/>
      <c r="Q10" s="18"/>
      <c r="R10" s="18"/>
      <c r="S10" s="2"/>
      <c r="T10" s="2"/>
      <c r="U10" s="2"/>
      <c r="V10" s="2"/>
      <c r="W10" s="2"/>
      <c r="X10" s="18"/>
      <c r="Y10" s="18"/>
      <c r="Z10" s="2"/>
      <c r="AA10" s="2"/>
      <c r="AB10" s="2"/>
      <c r="AC10" s="2"/>
      <c r="AD10" s="2"/>
      <c r="AE10" s="18"/>
      <c r="AF10" s="18"/>
      <c r="AG10" s="2"/>
      <c r="AH10" s="2"/>
      <c r="AI10" s="11">
        <f t="shared" si="0"/>
        <v>0</v>
      </c>
      <c r="AJ10" s="12">
        <f t="shared" si="1"/>
        <v>0</v>
      </c>
      <c r="AK10" s="13">
        <f t="shared" si="2"/>
        <v>0</v>
      </c>
      <c r="AL10" s="14">
        <f t="shared" si="3"/>
        <v>0</v>
      </c>
      <c r="AM10" s="14">
        <f t="shared" si="4"/>
        <v>0</v>
      </c>
      <c r="AN10" s="15">
        <f t="shared" si="5"/>
        <v>0</v>
      </c>
      <c r="AO10" s="16">
        <f t="shared" si="6"/>
        <v>0</v>
      </c>
      <c r="AP10" s="17"/>
      <c r="AQ10" s="47"/>
      <c r="AR10" s="47"/>
      <c r="AS10" s="48"/>
      <c r="AT10" s="83"/>
      <c r="AU10" s="82"/>
      <c r="AV10" s="83">
        <f t="shared" si="7"/>
        <v>0</v>
      </c>
      <c r="AW10" s="84"/>
      <c r="AX10" s="85"/>
      <c r="AY10" s="50"/>
      <c r="AZ10" s="16">
        <v>9</v>
      </c>
    </row>
    <row r="11" spans="1:52" ht="36.75" customHeight="1" x14ac:dyDescent="0.2">
      <c r="A11" s="2"/>
      <c r="B11" s="2"/>
      <c r="C11" s="2"/>
      <c r="D11" s="2"/>
      <c r="E11" s="5"/>
      <c r="F11" s="2"/>
      <c r="G11" s="2"/>
      <c r="H11" s="2"/>
      <c r="I11" s="2"/>
      <c r="J11" s="18"/>
      <c r="K11" s="18"/>
      <c r="L11" s="2"/>
      <c r="M11" s="2"/>
      <c r="N11" s="2"/>
      <c r="O11" s="2"/>
      <c r="P11" s="2"/>
      <c r="Q11" s="18"/>
      <c r="R11" s="18"/>
      <c r="S11" s="2"/>
      <c r="T11" s="2"/>
      <c r="U11" s="2"/>
      <c r="V11" s="2"/>
      <c r="W11" s="2"/>
      <c r="X11" s="18"/>
      <c r="Y11" s="18"/>
      <c r="Z11" s="2"/>
      <c r="AA11" s="2"/>
      <c r="AB11" s="2"/>
      <c r="AC11" s="2"/>
      <c r="AD11" s="2"/>
      <c r="AE11" s="18"/>
      <c r="AF11" s="18"/>
      <c r="AG11" s="2"/>
      <c r="AH11" s="2"/>
      <c r="AI11" s="11">
        <f t="shared" si="0"/>
        <v>0</v>
      </c>
      <c r="AJ11" s="12">
        <f t="shared" si="1"/>
        <v>0</v>
      </c>
      <c r="AK11" s="13">
        <f t="shared" si="2"/>
        <v>0</v>
      </c>
      <c r="AL11" s="14">
        <f t="shared" si="3"/>
        <v>0</v>
      </c>
      <c r="AM11" s="14">
        <f t="shared" si="4"/>
        <v>0</v>
      </c>
      <c r="AN11" s="15">
        <f t="shared" si="5"/>
        <v>0</v>
      </c>
      <c r="AO11" s="16">
        <f t="shared" si="6"/>
        <v>0</v>
      </c>
      <c r="AP11" s="17"/>
      <c r="AQ11" s="47"/>
      <c r="AR11" s="47"/>
      <c r="AS11" s="48"/>
      <c r="AT11" s="86"/>
      <c r="AU11" s="82"/>
      <c r="AV11" s="83">
        <f t="shared" si="7"/>
        <v>0</v>
      </c>
      <c r="AW11" s="84"/>
      <c r="AX11" s="85"/>
      <c r="AY11" s="50"/>
      <c r="AZ11" s="88">
        <v>10</v>
      </c>
    </row>
    <row r="12" spans="1:52" ht="36.75" customHeight="1" x14ac:dyDescent="0.2">
      <c r="A12" s="2"/>
      <c r="B12" s="2"/>
      <c r="C12" s="2"/>
      <c r="D12" s="2"/>
      <c r="E12" s="5"/>
      <c r="F12" s="2"/>
      <c r="G12" s="2"/>
      <c r="H12" s="2"/>
      <c r="I12" s="2"/>
      <c r="J12" s="18"/>
      <c r="K12" s="18"/>
      <c r="L12" s="2"/>
      <c r="M12" s="2"/>
      <c r="N12" s="2"/>
      <c r="O12" s="2"/>
      <c r="P12" s="2"/>
      <c r="Q12" s="18"/>
      <c r="R12" s="18"/>
      <c r="S12" s="2"/>
      <c r="T12" s="2"/>
      <c r="U12" s="2"/>
      <c r="V12" s="2"/>
      <c r="W12" s="2"/>
      <c r="X12" s="18"/>
      <c r="Y12" s="18"/>
      <c r="Z12" s="2"/>
      <c r="AA12" s="2"/>
      <c r="AB12" s="2"/>
      <c r="AC12" s="2"/>
      <c r="AD12" s="2"/>
      <c r="AE12" s="18"/>
      <c r="AF12" s="18"/>
      <c r="AG12" s="2"/>
      <c r="AH12" s="2"/>
      <c r="AI12" s="11">
        <f t="shared" si="0"/>
        <v>0</v>
      </c>
      <c r="AJ12" s="12">
        <f t="shared" si="1"/>
        <v>0</v>
      </c>
      <c r="AK12" s="13">
        <f t="shared" si="2"/>
        <v>0</v>
      </c>
      <c r="AL12" s="14">
        <f t="shared" si="3"/>
        <v>0</v>
      </c>
      <c r="AM12" s="14">
        <f t="shared" si="4"/>
        <v>0</v>
      </c>
      <c r="AN12" s="15">
        <f t="shared" si="5"/>
        <v>0</v>
      </c>
      <c r="AO12" s="16">
        <f t="shared" si="6"/>
        <v>0</v>
      </c>
      <c r="AP12" s="17"/>
      <c r="AQ12" s="46"/>
      <c r="AR12" s="47"/>
      <c r="AS12" s="48"/>
      <c r="AT12" s="83"/>
      <c r="AU12" s="82"/>
      <c r="AV12" s="83">
        <f t="shared" si="7"/>
        <v>0</v>
      </c>
      <c r="AW12" s="84"/>
      <c r="AX12" s="85"/>
      <c r="AY12" s="50"/>
      <c r="AZ12" s="88">
        <v>11</v>
      </c>
    </row>
    <row r="13" spans="1:52" ht="36.75" customHeight="1" x14ac:dyDescent="0.2">
      <c r="A13" s="2"/>
      <c r="B13" s="2"/>
      <c r="C13" s="2"/>
      <c r="D13" s="2"/>
      <c r="E13" s="5"/>
      <c r="F13" s="2"/>
      <c r="G13" s="2"/>
      <c r="H13" s="2"/>
      <c r="I13" s="2"/>
      <c r="J13" s="18"/>
      <c r="K13" s="18"/>
      <c r="L13" s="2"/>
      <c r="M13" s="2"/>
      <c r="N13" s="2"/>
      <c r="O13" s="2"/>
      <c r="P13" s="2"/>
      <c r="Q13" s="18"/>
      <c r="R13" s="18"/>
      <c r="S13" s="2"/>
      <c r="T13" s="2"/>
      <c r="U13" s="2"/>
      <c r="V13" s="2"/>
      <c r="W13" s="2"/>
      <c r="X13" s="18"/>
      <c r="Y13" s="18"/>
      <c r="Z13" s="2"/>
      <c r="AA13" s="2"/>
      <c r="AB13" s="2"/>
      <c r="AC13" s="2"/>
      <c r="AD13" s="2"/>
      <c r="AE13" s="18"/>
      <c r="AF13" s="18"/>
      <c r="AG13" s="2"/>
      <c r="AH13" s="2"/>
      <c r="AI13" s="11">
        <f t="shared" si="0"/>
        <v>0</v>
      </c>
      <c r="AJ13" s="12">
        <f t="shared" si="1"/>
        <v>0</v>
      </c>
      <c r="AK13" s="13">
        <f t="shared" si="2"/>
        <v>0</v>
      </c>
      <c r="AL13" s="14">
        <f t="shared" si="3"/>
        <v>0</v>
      </c>
      <c r="AM13" s="14">
        <f t="shared" si="4"/>
        <v>0</v>
      </c>
      <c r="AN13" s="15">
        <f t="shared" si="5"/>
        <v>0</v>
      </c>
      <c r="AO13" s="16">
        <f t="shared" si="6"/>
        <v>0</v>
      </c>
      <c r="AP13" s="17"/>
      <c r="AQ13" s="47"/>
      <c r="AR13" s="47"/>
      <c r="AS13" s="48"/>
      <c r="AT13" s="83"/>
      <c r="AU13" s="82"/>
      <c r="AV13" s="83">
        <f t="shared" si="7"/>
        <v>0</v>
      </c>
      <c r="AW13" s="84"/>
      <c r="AX13" s="48"/>
      <c r="AY13" s="50"/>
      <c r="AZ13" s="88">
        <v>12</v>
      </c>
    </row>
    <row r="14" spans="1:52" ht="36.75" customHeight="1" x14ac:dyDescent="0.2">
      <c r="A14" s="2"/>
      <c r="B14" s="2"/>
      <c r="C14" s="2"/>
      <c r="D14" s="2"/>
      <c r="E14" s="5"/>
      <c r="F14" s="2"/>
      <c r="G14" s="2"/>
      <c r="H14" s="2"/>
      <c r="I14" s="2"/>
      <c r="J14" s="18"/>
      <c r="K14" s="18"/>
      <c r="L14" s="2"/>
      <c r="M14" s="2"/>
      <c r="N14" s="2"/>
      <c r="O14" s="2"/>
      <c r="P14" s="2"/>
      <c r="Q14" s="18"/>
      <c r="R14" s="18"/>
      <c r="S14" s="2"/>
      <c r="T14" s="2"/>
      <c r="U14" s="2"/>
      <c r="V14" s="2"/>
      <c r="W14" s="2"/>
      <c r="X14" s="18"/>
      <c r="Y14" s="18"/>
      <c r="Z14" s="2"/>
      <c r="AA14" s="2"/>
      <c r="AB14" s="2"/>
      <c r="AC14" s="2"/>
      <c r="AD14" s="2"/>
      <c r="AE14" s="18"/>
      <c r="AF14" s="18"/>
      <c r="AG14" s="2"/>
      <c r="AH14" s="2"/>
      <c r="AI14" s="11">
        <f t="shared" si="0"/>
        <v>0</v>
      </c>
      <c r="AJ14" s="12">
        <f t="shared" si="1"/>
        <v>0</v>
      </c>
      <c r="AK14" s="13">
        <f t="shared" si="2"/>
        <v>0</v>
      </c>
      <c r="AL14" s="14">
        <f t="shared" si="3"/>
        <v>0</v>
      </c>
      <c r="AM14" s="14">
        <f t="shared" si="4"/>
        <v>0</v>
      </c>
      <c r="AN14" s="15">
        <f t="shared" si="5"/>
        <v>0</v>
      </c>
      <c r="AO14" s="16">
        <f t="shared" si="6"/>
        <v>0</v>
      </c>
      <c r="AP14" s="17"/>
      <c r="AQ14" s="46"/>
      <c r="AR14" s="47"/>
      <c r="AS14" s="48"/>
      <c r="AT14" s="83"/>
      <c r="AU14" s="82"/>
      <c r="AV14" s="83">
        <f t="shared" si="7"/>
        <v>0</v>
      </c>
      <c r="AW14" s="84"/>
      <c r="AX14" s="48"/>
      <c r="AY14" s="50"/>
      <c r="AZ14" s="88">
        <v>13</v>
      </c>
    </row>
    <row r="15" spans="1:52" ht="36.75" customHeight="1" x14ac:dyDescent="0.2">
      <c r="A15" s="2"/>
      <c r="B15" s="2"/>
      <c r="C15" s="2"/>
      <c r="D15" s="2"/>
      <c r="E15" s="5"/>
      <c r="F15" s="2"/>
      <c r="G15" s="2"/>
      <c r="H15" s="2"/>
      <c r="I15" s="2"/>
      <c r="J15" s="18"/>
      <c r="K15" s="18"/>
      <c r="L15" s="2"/>
      <c r="M15" s="2"/>
      <c r="N15" s="2"/>
      <c r="O15" s="2"/>
      <c r="P15" s="2"/>
      <c r="Q15" s="18"/>
      <c r="R15" s="18"/>
      <c r="S15" s="2"/>
      <c r="T15" s="2"/>
      <c r="U15" s="2"/>
      <c r="V15" s="2"/>
      <c r="W15" s="2"/>
      <c r="X15" s="18"/>
      <c r="Y15" s="18"/>
      <c r="Z15" s="2"/>
      <c r="AA15" s="2"/>
      <c r="AB15" s="2"/>
      <c r="AC15" s="2"/>
      <c r="AD15" s="2"/>
      <c r="AE15" s="18"/>
      <c r="AF15" s="18"/>
      <c r="AG15" s="2"/>
      <c r="AH15" s="2"/>
      <c r="AI15" s="11">
        <f t="shared" si="0"/>
        <v>0</v>
      </c>
      <c r="AJ15" s="12">
        <f t="shared" si="1"/>
        <v>0</v>
      </c>
      <c r="AK15" s="13">
        <f t="shared" si="2"/>
        <v>0</v>
      </c>
      <c r="AL15" s="14">
        <f t="shared" si="3"/>
        <v>0</v>
      </c>
      <c r="AM15" s="14">
        <f t="shared" si="4"/>
        <v>0</v>
      </c>
      <c r="AN15" s="15">
        <f t="shared" si="5"/>
        <v>0</v>
      </c>
      <c r="AO15" s="16">
        <f t="shared" si="6"/>
        <v>0</v>
      </c>
      <c r="AP15" s="17"/>
      <c r="AQ15" s="46"/>
      <c r="AR15" s="47"/>
      <c r="AS15" s="48"/>
      <c r="AT15" s="83"/>
      <c r="AU15" s="82"/>
      <c r="AV15" s="83">
        <f t="shared" si="7"/>
        <v>0</v>
      </c>
      <c r="AW15" s="84"/>
      <c r="AX15" s="48"/>
      <c r="AY15" s="50"/>
      <c r="AZ15" s="88">
        <v>14</v>
      </c>
    </row>
    <row r="16" spans="1:52" ht="27.75" customHeight="1" x14ac:dyDescent="0.2">
      <c r="A16" s="2"/>
      <c r="B16" s="2"/>
      <c r="C16" s="2"/>
      <c r="D16" s="2"/>
      <c r="E16" s="5"/>
      <c r="F16" s="2"/>
      <c r="G16" s="2"/>
      <c r="H16" s="19"/>
      <c r="I16" s="2"/>
      <c r="J16" s="18"/>
      <c r="K16" s="18"/>
      <c r="L16" s="2"/>
      <c r="M16" s="2"/>
      <c r="N16" s="2"/>
      <c r="O16" s="19"/>
      <c r="P16" s="2"/>
      <c r="Q16" s="18"/>
      <c r="R16" s="18"/>
      <c r="S16" s="2"/>
      <c r="T16" s="2"/>
      <c r="U16" s="2"/>
      <c r="V16" s="19"/>
      <c r="W16" s="2"/>
      <c r="X16" s="18"/>
      <c r="Y16" s="18"/>
      <c r="Z16" s="2"/>
      <c r="AA16" s="2"/>
      <c r="AB16" s="2"/>
      <c r="AC16" s="19"/>
      <c r="AD16" s="2"/>
      <c r="AE16" s="18"/>
      <c r="AF16" s="18"/>
      <c r="AG16" s="2"/>
      <c r="AH16" s="2"/>
      <c r="AI16" s="11">
        <f t="shared" si="0"/>
        <v>0</v>
      </c>
      <c r="AJ16" s="12">
        <f t="shared" si="1"/>
        <v>0</v>
      </c>
      <c r="AK16" s="13">
        <f t="shared" si="2"/>
        <v>0</v>
      </c>
      <c r="AL16" s="14">
        <f t="shared" si="3"/>
        <v>0</v>
      </c>
      <c r="AM16" s="14">
        <f t="shared" si="4"/>
        <v>0</v>
      </c>
      <c r="AN16" s="15">
        <f t="shared" si="5"/>
        <v>0</v>
      </c>
      <c r="AO16" s="16">
        <f t="shared" si="6"/>
        <v>0</v>
      </c>
      <c r="AP16" s="17"/>
      <c r="AQ16" s="46"/>
      <c r="AR16" s="47"/>
      <c r="AS16" s="48"/>
      <c r="AT16" s="83"/>
      <c r="AU16" s="82"/>
      <c r="AV16" s="83">
        <f t="shared" si="7"/>
        <v>0</v>
      </c>
      <c r="AW16" s="84"/>
      <c r="AX16" s="48"/>
      <c r="AY16" s="50"/>
      <c r="AZ16" s="88">
        <v>15</v>
      </c>
    </row>
    <row r="17" spans="1:52" ht="27.75" customHeight="1" x14ac:dyDescent="0.2">
      <c r="A17" s="2"/>
      <c r="B17" s="2"/>
      <c r="C17" s="2"/>
      <c r="D17" s="2"/>
      <c r="E17" s="5"/>
      <c r="F17" s="2"/>
      <c r="G17" s="2"/>
      <c r="H17" s="19"/>
      <c r="I17" s="2"/>
      <c r="J17" s="18"/>
      <c r="K17" s="18"/>
      <c r="L17" s="2"/>
      <c r="M17" s="2"/>
      <c r="N17" s="2"/>
      <c r="O17" s="19"/>
      <c r="P17" s="2"/>
      <c r="Q17" s="18"/>
      <c r="R17" s="18"/>
      <c r="S17" s="2"/>
      <c r="T17" s="2"/>
      <c r="U17" s="2"/>
      <c r="V17" s="19"/>
      <c r="W17" s="2"/>
      <c r="X17" s="18"/>
      <c r="Y17" s="18"/>
      <c r="Z17" s="2"/>
      <c r="AA17" s="2"/>
      <c r="AB17" s="2"/>
      <c r="AC17" s="19"/>
      <c r="AD17" s="2"/>
      <c r="AE17" s="18"/>
      <c r="AF17" s="18"/>
      <c r="AG17" s="2"/>
      <c r="AH17" s="2"/>
      <c r="AI17" s="11">
        <f t="shared" si="0"/>
        <v>0</v>
      </c>
      <c r="AJ17" s="12">
        <f t="shared" si="1"/>
        <v>0</v>
      </c>
      <c r="AK17" s="13">
        <f t="shared" si="2"/>
        <v>0</v>
      </c>
      <c r="AL17" s="14">
        <f t="shared" si="3"/>
        <v>0</v>
      </c>
      <c r="AM17" s="14">
        <f t="shared" si="4"/>
        <v>0</v>
      </c>
      <c r="AN17" s="15">
        <f t="shared" si="5"/>
        <v>0</v>
      </c>
      <c r="AO17" s="16">
        <f t="shared" si="6"/>
        <v>0</v>
      </c>
      <c r="AP17" s="17"/>
      <c r="AQ17" s="46"/>
      <c r="AR17" s="47"/>
      <c r="AS17" s="48"/>
      <c r="AT17" s="83"/>
      <c r="AU17" s="82"/>
      <c r="AV17" s="83">
        <f t="shared" si="7"/>
        <v>0</v>
      </c>
      <c r="AW17" s="84"/>
      <c r="AX17" s="48"/>
      <c r="AY17" s="50"/>
      <c r="AZ17" s="88">
        <v>16</v>
      </c>
    </row>
    <row r="18" spans="1:52" ht="27.75" customHeight="1" x14ac:dyDescent="0.2">
      <c r="A18" s="2"/>
      <c r="B18" s="2"/>
      <c r="C18" s="2"/>
      <c r="D18" s="2"/>
      <c r="E18" s="5"/>
      <c r="F18" s="2"/>
      <c r="G18" s="2"/>
      <c r="H18" s="19"/>
      <c r="I18" s="2"/>
      <c r="J18" s="18"/>
      <c r="K18" s="18"/>
      <c r="L18" s="2"/>
      <c r="M18" s="2"/>
      <c r="N18" s="2"/>
      <c r="O18" s="19"/>
      <c r="P18" s="2"/>
      <c r="Q18" s="18"/>
      <c r="R18" s="18"/>
      <c r="S18" s="2"/>
      <c r="T18" s="2"/>
      <c r="U18" s="2"/>
      <c r="V18" s="19"/>
      <c r="W18" s="2"/>
      <c r="X18" s="18"/>
      <c r="Y18" s="18"/>
      <c r="Z18" s="2"/>
      <c r="AA18" s="2"/>
      <c r="AB18" s="2"/>
      <c r="AC18" s="19"/>
      <c r="AD18" s="2"/>
      <c r="AE18" s="18"/>
      <c r="AF18" s="18"/>
      <c r="AG18" s="2"/>
      <c r="AH18" s="2"/>
      <c r="AI18" s="11">
        <f t="shared" si="0"/>
        <v>0</v>
      </c>
      <c r="AJ18" s="12">
        <f t="shared" si="1"/>
        <v>0</v>
      </c>
      <c r="AK18" s="13">
        <f t="shared" si="2"/>
        <v>0</v>
      </c>
      <c r="AL18" s="14">
        <f t="shared" si="3"/>
        <v>0</v>
      </c>
      <c r="AM18" s="14">
        <f t="shared" si="4"/>
        <v>0</v>
      </c>
      <c r="AN18" s="15">
        <f t="shared" si="5"/>
        <v>0</v>
      </c>
      <c r="AO18" s="16">
        <f t="shared" si="6"/>
        <v>0</v>
      </c>
      <c r="AP18" s="17"/>
      <c r="AQ18" s="47"/>
      <c r="AR18" s="47"/>
      <c r="AS18" s="48"/>
      <c r="AT18" s="83"/>
      <c r="AU18" s="82"/>
      <c r="AV18" s="83">
        <f t="shared" si="7"/>
        <v>0</v>
      </c>
      <c r="AW18" s="84"/>
      <c r="AX18" s="48"/>
      <c r="AY18" s="50"/>
      <c r="AZ18" s="88">
        <v>17</v>
      </c>
    </row>
    <row r="19" spans="1:52" ht="27.75" customHeight="1" x14ac:dyDescent="0.2">
      <c r="A19" s="2"/>
      <c r="B19" s="2"/>
      <c r="C19" s="2"/>
      <c r="D19" s="2"/>
      <c r="E19" s="5"/>
      <c r="F19" s="2"/>
      <c r="G19" s="2"/>
      <c r="H19" s="19"/>
      <c r="I19" s="2"/>
      <c r="J19" s="18"/>
      <c r="K19" s="18"/>
      <c r="L19" s="2"/>
      <c r="M19" s="2"/>
      <c r="N19" s="2"/>
      <c r="O19" s="19"/>
      <c r="P19" s="2"/>
      <c r="Q19" s="18"/>
      <c r="R19" s="18"/>
      <c r="S19" s="2"/>
      <c r="T19" s="2"/>
      <c r="U19" s="2"/>
      <c r="V19" s="19"/>
      <c r="W19" s="2"/>
      <c r="X19" s="18"/>
      <c r="Y19" s="18"/>
      <c r="Z19" s="2"/>
      <c r="AA19" s="2"/>
      <c r="AB19" s="2"/>
      <c r="AC19" s="19"/>
      <c r="AD19" s="2"/>
      <c r="AE19" s="18"/>
      <c r="AF19" s="18"/>
      <c r="AG19" s="2"/>
      <c r="AH19" s="2"/>
      <c r="AI19" s="11">
        <f t="shared" si="0"/>
        <v>0</v>
      </c>
      <c r="AJ19" s="12">
        <f t="shared" si="1"/>
        <v>0</v>
      </c>
      <c r="AK19" s="13">
        <f t="shared" si="2"/>
        <v>0</v>
      </c>
      <c r="AL19" s="14">
        <f t="shared" si="3"/>
        <v>0</v>
      </c>
      <c r="AM19" s="14">
        <f t="shared" si="4"/>
        <v>0</v>
      </c>
      <c r="AN19" s="15">
        <f t="shared" si="5"/>
        <v>0</v>
      </c>
      <c r="AO19" s="16">
        <f t="shared" si="6"/>
        <v>0</v>
      </c>
      <c r="AP19" s="17"/>
      <c r="AQ19" s="47"/>
      <c r="AR19" s="47"/>
      <c r="AS19" s="48"/>
      <c r="AT19" s="83"/>
      <c r="AU19" s="82"/>
      <c r="AV19" s="83">
        <f t="shared" si="7"/>
        <v>0</v>
      </c>
      <c r="AW19" s="84"/>
      <c r="AX19" s="48"/>
      <c r="AY19" s="50"/>
      <c r="AZ19" s="88">
        <v>18</v>
      </c>
    </row>
    <row r="20" spans="1:52" s="42" customFormat="1" ht="27.75" customHeight="1" x14ac:dyDescent="0.2">
      <c r="A20" s="2"/>
      <c r="B20" s="2"/>
      <c r="C20" s="2"/>
      <c r="D20" s="2"/>
      <c r="E20" s="5"/>
      <c r="F20" s="2"/>
      <c r="G20" s="2"/>
      <c r="H20" s="19"/>
      <c r="I20" s="2"/>
      <c r="J20" s="18"/>
      <c r="K20" s="18"/>
      <c r="L20" s="2"/>
      <c r="M20" s="2"/>
      <c r="N20" s="2"/>
      <c r="O20" s="19"/>
      <c r="P20" s="2"/>
      <c r="Q20" s="18"/>
      <c r="R20" s="18"/>
      <c r="S20" s="2"/>
      <c r="T20" s="2"/>
      <c r="U20" s="2"/>
      <c r="V20" s="19"/>
      <c r="W20" s="2"/>
      <c r="X20" s="18"/>
      <c r="Y20" s="18"/>
      <c r="Z20" s="2"/>
      <c r="AA20" s="2"/>
      <c r="AB20" s="2"/>
      <c r="AC20" s="19"/>
      <c r="AD20" s="2"/>
      <c r="AE20" s="18"/>
      <c r="AF20" s="18"/>
      <c r="AG20" s="2"/>
      <c r="AH20" s="2"/>
      <c r="AI20" s="11">
        <f t="shared" si="0"/>
        <v>0</v>
      </c>
      <c r="AJ20" s="12">
        <f t="shared" si="1"/>
        <v>0</v>
      </c>
      <c r="AK20" s="13">
        <f t="shared" si="2"/>
        <v>0</v>
      </c>
      <c r="AL20" s="14">
        <f t="shared" si="3"/>
        <v>0</v>
      </c>
      <c r="AM20" s="14">
        <f t="shared" si="4"/>
        <v>0</v>
      </c>
      <c r="AN20" s="15">
        <f t="shared" si="5"/>
        <v>0</v>
      </c>
      <c r="AO20" s="16">
        <f t="shared" si="6"/>
        <v>0</v>
      </c>
      <c r="AP20" s="17"/>
      <c r="AQ20" s="47"/>
      <c r="AR20" s="47"/>
      <c r="AS20" s="48"/>
      <c r="AT20" s="83"/>
      <c r="AU20" s="82"/>
      <c r="AV20" s="83">
        <f t="shared" si="7"/>
        <v>0</v>
      </c>
      <c r="AW20" s="84"/>
      <c r="AX20" s="48"/>
      <c r="AY20" s="50"/>
      <c r="AZ20" s="88"/>
    </row>
    <row r="21" spans="1:52" ht="27.75" customHeight="1" thickBot="1" x14ac:dyDescent="0.25">
      <c r="A21" s="2"/>
      <c r="B21" s="2"/>
      <c r="C21" s="2"/>
      <c r="D21" s="2"/>
      <c r="E21" s="5"/>
      <c r="F21" s="2"/>
      <c r="G21" s="2"/>
      <c r="H21" s="19"/>
      <c r="I21" s="2"/>
      <c r="J21" s="18"/>
      <c r="K21" s="18"/>
      <c r="L21" s="2"/>
      <c r="M21" s="2"/>
      <c r="N21" s="2"/>
      <c r="O21" s="19"/>
      <c r="P21" s="2"/>
      <c r="Q21" s="18"/>
      <c r="R21" s="18"/>
      <c r="S21" s="2"/>
      <c r="T21" s="2"/>
      <c r="U21" s="2"/>
      <c r="V21" s="19"/>
      <c r="W21" s="2"/>
      <c r="X21" s="18"/>
      <c r="Y21" s="18"/>
      <c r="Z21" s="2"/>
      <c r="AA21" s="2"/>
      <c r="AB21" s="2"/>
      <c r="AC21" s="19"/>
      <c r="AD21" s="2"/>
      <c r="AE21" s="18"/>
      <c r="AF21" s="18"/>
      <c r="AG21" s="2"/>
      <c r="AH21" s="2"/>
      <c r="AI21" s="11">
        <f t="shared" si="0"/>
        <v>0</v>
      </c>
      <c r="AJ21" s="12">
        <f t="shared" si="1"/>
        <v>0</v>
      </c>
      <c r="AK21" s="13">
        <f t="shared" si="2"/>
        <v>0</v>
      </c>
      <c r="AL21" s="14">
        <f t="shared" si="3"/>
        <v>0</v>
      </c>
      <c r="AM21" s="14">
        <f t="shared" si="4"/>
        <v>0</v>
      </c>
      <c r="AN21" s="15">
        <f t="shared" si="5"/>
        <v>0</v>
      </c>
      <c r="AO21" s="16">
        <f t="shared" si="6"/>
        <v>0</v>
      </c>
      <c r="AP21" s="17"/>
      <c r="AQ21" s="47"/>
      <c r="AR21" s="47"/>
      <c r="AS21" s="48"/>
      <c r="AT21" s="83"/>
      <c r="AU21" s="82"/>
      <c r="AV21" s="83">
        <f t="shared" si="7"/>
        <v>0</v>
      </c>
      <c r="AW21" s="84"/>
      <c r="AX21" s="48"/>
      <c r="AY21" s="50"/>
      <c r="AZ21" s="88"/>
    </row>
    <row r="22" spans="1:52" ht="18" thickBot="1" x14ac:dyDescent="0.25">
      <c r="M22" s="22" t="s">
        <v>46</v>
      </c>
      <c r="N22" s="23" t="s">
        <v>47</v>
      </c>
    </row>
    <row r="23" spans="1:52" ht="19.5" thickBot="1" x14ac:dyDescent="0.25">
      <c r="L23" s="24"/>
      <c r="M23" s="25">
        <v>1</v>
      </c>
      <c r="N23" s="25">
        <f>B2</f>
        <v>0</v>
      </c>
      <c r="AL23" s="43"/>
    </row>
    <row r="24" spans="1:52" ht="24.75" thickBot="1" x14ac:dyDescent="0.3">
      <c r="D24" s="20" t="s">
        <v>82</v>
      </c>
      <c r="L24" s="26"/>
      <c r="M24" s="16">
        <v>2</v>
      </c>
      <c r="N24" s="16">
        <f t="shared" ref="N24:N25" si="8">B3</f>
        <v>0</v>
      </c>
      <c r="P24" s="51" t="s">
        <v>35</v>
      </c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1" t="s">
        <v>35</v>
      </c>
      <c r="AE24" s="52"/>
      <c r="AF24" s="53"/>
      <c r="AP24" s="54" t="s">
        <v>50</v>
      </c>
      <c r="AQ24" s="55">
        <f t="shared" ref="AQ24:AQ33" si="9">COUNTIF(AK$2:AK$19,AP24)</f>
        <v>0</v>
      </c>
    </row>
    <row r="25" spans="1:52" ht="21.75" thickBot="1" x14ac:dyDescent="0.25">
      <c r="D25" s="89"/>
      <c r="L25" s="27"/>
      <c r="M25" s="28">
        <v>3</v>
      </c>
      <c r="N25" s="28">
        <f t="shared" si="8"/>
        <v>0</v>
      </c>
      <c r="P25" s="56" t="s">
        <v>36</v>
      </c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7"/>
      <c r="AP25" s="58" t="s">
        <v>51</v>
      </c>
      <c r="AQ25" s="59">
        <f t="shared" si="9"/>
        <v>0</v>
      </c>
    </row>
    <row r="26" spans="1:52" ht="21.75" thickBot="1" x14ac:dyDescent="0.25">
      <c r="D26" s="89"/>
      <c r="L26" s="29"/>
      <c r="M26" s="25">
        <v>16</v>
      </c>
      <c r="N26" s="25">
        <f>B17</f>
        <v>0</v>
      </c>
      <c r="P26" s="60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61" t="s">
        <v>37</v>
      </c>
      <c r="AE26" s="52"/>
      <c r="AF26" s="53"/>
      <c r="AP26" s="58" t="s">
        <v>52</v>
      </c>
      <c r="AQ26" s="59">
        <f t="shared" si="9"/>
        <v>0</v>
      </c>
    </row>
    <row r="27" spans="1:52" ht="21.75" thickBot="1" x14ac:dyDescent="0.25">
      <c r="D27" s="89"/>
      <c r="L27" s="30"/>
      <c r="M27" s="16">
        <v>17</v>
      </c>
      <c r="N27" s="16">
        <f t="shared" ref="N27:N28" si="10">B18</f>
        <v>0</v>
      </c>
      <c r="P27" s="61" t="s">
        <v>37</v>
      </c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7"/>
      <c r="AP27" s="58" t="s">
        <v>53</v>
      </c>
      <c r="AQ27" s="59">
        <f t="shared" si="9"/>
        <v>0</v>
      </c>
    </row>
    <row r="28" spans="1:52" ht="21.75" thickBot="1" x14ac:dyDescent="0.25">
      <c r="L28" s="30"/>
      <c r="M28" s="28">
        <v>18</v>
      </c>
      <c r="N28" s="28">
        <f t="shared" si="10"/>
        <v>0</v>
      </c>
      <c r="P28" s="60" t="s">
        <v>38</v>
      </c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7"/>
      <c r="AP28" s="58" t="s">
        <v>54</v>
      </c>
      <c r="AQ28" s="59">
        <f t="shared" si="9"/>
        <v>0</v>
      </c>
    </row>
    <row r="29" spans="1:52" ht="21.75" thickBot="1" x14ac:dyDescent="0.25">
      <c r="L29" s="31"/>
      <c r="M29" s="25">
        <v>4</v>
      </c>
      <c r="N29" s="25">
        <f>B5</f>
        <v>0</v>
      </c>
      <c r="P29" s="60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62"/>
      <c r="AD29" s="62"/>
      <c r="AE29" s="62"/>
      <c r="AF29" s="57"/>
      <c r="AG29" s="63"/>
      <c r="AH29" s="63"/>
      <c r="AI29" s="63"/>
      <c r="AJ29" s="63"/>
      <c r="AP29" s="64" t="s">
        <v>55</v>
      </c>
      <c r="AQ29" s="65">
        <f t="shared" si="9"/>
        <v>0</v>
      </c>
      <c r="AR29" s="21">
        <f>SUM(AQ24:AQ29)</f>
        <v>0</v>
      </c>
    </row>
    <row r="30" spans="1:52" ht="21.75" thickBot="1" x14ac:dyDescent="0.25">
      <c r="L30" s="32"/>
      <c r="M30" s="16">
        <v>5</v>
      </c>
      <c r="N30" s="16">
        <f t="shared" ref="N30:N31" si="11">B6</f>
        <v>0</v>
      </c>
      <c r="P30" s="61" t="s">
        <v>39</v>
      </c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62"/>
      <c r="AD30" s="61" t="s">
        <v>39</v>
      </c>
      <c r="AE30" s="62"/>
      <c r="AF30" s="53"/>
      <c r="AG30" s="63"/>
      <c r="AH30" s="63"/>
      <c r="AI30" s="63"/>
      <c r="AJ30" s="63"/>
      <c r="AP30" s="66" t="s">
        <v>56</v>
      </c>
      <c r="AQ30" s="67">
        <f t="shared" si="9"/>
        <v>0</v>
      </c>
    </row>
    <row r="31" spans="1:52" ht="21.75" thickBot="1" x14ac:dyDescent="0.25">
      <c r="L31" s="32"/>
      <c r="M31" s="16">
        <v>6</v>
      </c>
      <c r="N31" s="16">
        <f t="shared" si="11"/>
        <v>0</v>
      </c>
      <c r="P31" s="60" t="s">
        <v>40</v>
      </c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62"/>
      <c r="AD31" s="62"/>
      <c r="AE31" s="62"/>
      <c r="AF31" s="53"/>
      <c r="AG31" s="63"/>
      <c r="AH31" s="63"/>
      <c r="AI31" s="63"/>
      <c r="AJ31" s="63"/>
      <c r="AP31" s="58" t="s">
        <v>57</v>
      </c>
      <c r="AQ31" s="59">
        <f t="shared" si="9"/>
        <v>0</v>
      </c>
    </row>
    <row r="32" spans="1:52" ht="21.75" thickBot="1" x14ac:dyDescent="0.25">
      <c r="L32" s="32"/>
      <c r="M32" s="16">
        <v>11</v>
      </c>
      <c r="N32" s="16">
        <f>B12</f>
        <v>0</v>
      </c>
      <c r="P32" s="60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62"/>
      <c r="AD32" s="62"/>
      <c r="AE32" s="62"/>
      <c r="AF32" s="57"/>
      <c r="AG32" s="63"/>
      <c r="AH32" s="63"/>
      <c r="AI32" s="63"/>
      <c r="AJ32" s="63"/>
      <c r="AP32" s="58" t="s">
        <v>58</v>
      </c>
      <c r="AQ32" s="59">
        <f t="shared" si="9"/>
        <v>0</v>
      </c>
    </row>
    <row r="33" spans="3:51" ht="21.75" thickBot="1" x14ac:dyDescent="0.25">
      <c r="L33" s="33"/>
      <c r="M33" s="34">
        <v>12</v>
      </c>
      <c r="N33" s="34">
        <f t="shared" ref="N33:N34" si="12">B13</f>
        <v>0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7"/>
      <c r="AP33" s="68" t="s">
        <v>59</v>
      </c>
      <c r="AQ33" s="69">
        <f t="shared" si="9"/>
        <v>0</v>
      </c>
      <c r="AR33" s="21">
        <f>SUM(AQ30:AQ33)</f>
        <v>0</v>
      </c>
    </row>
    <row r="34" spans="3:51" ht="21.75" thickBot="1" x14ac:dyDescent="0.25">
      <c r="L34" s="35"/>
      <c r="M34" s="28">
        <v>13</v>
      </c>
      <c r="N34" s="28">
        <f t="shared" si="12"/>
        <v>0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7"/>
      <c r="AP34" s="70" t="s">
        <v>60</v>
      </c>
      <c r="AQ34" s="71">
        <f>SUM(AQ24:AQ33)</f>
        <v>0</v>
      </c>
    </row>
    <row r="35" spans="3:51" ht="19.5" thickBot="1" x14ac:dyDescent="0.25">
      <c r="L35" s="36"/>
      <c r="M35" s="37">
        <v>7</v>
      </c>
      <c r="N35" s="37">
        <f>B8</f>
        <v>0</v>
      </c>
      <c r="P35" s="61" t="s">
        <v>41</v>
      </c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61" t="s">
        <v>41</v>
      </c>
      <c r="AE35" s="52"/>
      <c r="AF35" s="53"/>
    </row>
    <row r="36" spans="3:51" ht="19.5" thickBot="1" x14ac:dyDescent="0.25">
      <c r="L36" s="38"/>
      <c r="M36" s="34">
        <v>8</v>
      </c>
      <c r="N36" s="34">
        <f t="shared" ref="N36:N38" si="13">B9</f>
        <v>0</v>
      </c>
      <c r="P36" s="60" t="s">
        <v>42</v>
      </c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3"/>
    </row>
    <row r="37" spans="3:51" ht="19.5" thickBot="1" x14ac:dyDescent="0.25">
      <c r="L37" s="39"/>
      <c r="M37" s="16">
        <v>9</v>
      </c>
      <c r="N37" s="16">
        <f t="shared" si="13"/>
        <v>0</v>
      </c>
      <c r="P37" s="60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7"/>
    </row>
    <row r="38" spans="3:51" ht="19.5" thickBot="1" x14ac:dyDescent="0.25">
      <c r="L38" s="40"/>
      <c r="M38" s="41">
        <v>10</v>
      </c>
      <c r="N38" s="41">
        <f t="shared" si="13"/>
        <v>0</v>
      </c>
      <c r="P38" s="61" t="s">
        <v>43</v>
      </c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7"/>
    </row>
    <row r="39" spans="3:51" ht="17.25" x14ac:dyDescent="0.15">
      <c r="P39" s="60" t="s">
        <v>44</v>
      </c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</row>
    <row r="40" spans="3:51" ht="13.5" customHeight="1" x14ac:dyDescent="0.15">
      <c r="C40" s="93" t="s">
        <v>61</v>
      </c>
      <c r="D40" s="94"/>
      <c r="E40" s="95"/>
      <c r="AU40" s="72"/>
      <c r="AY40" s="72"/>
    </row>
    <row r="41" spans="3:51" ht="14.25" customHeight="1" x14ac:dyDescent="0.15">
      <c r="C41" s="96"/>
      <c r="D41" s="97"/>
      <c r="E41" s="98"/>
      <c r="AU41" s="72"/>
      <c r="AY41" s="72"/>
    </row>
    <row r="42" spans="3:51" ht="20.25" customHeight="1" x14ac:dyDescent="0.15">
      <c r="C42" s="73"/>
      <c r="D42" s="99" t="s">
        <v>62</v>
      </c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1"/>
      <c r="P42" s="99" t="s">
        <v>63</v>
      </c>
      <c r="Q42" s="100"/>
      <c r="R42" s="100"/>
      <c r="S42" s="100"/>
      <c r="T42" s="100"/>
      <c r="U42" s="100"/>
      <c r="V42" s="100"/>
      <c r="W42" s="100"/>
      <c r="X42" s="100"/>
      <c r="Y42" s="100"/>
      <c r="Z42" s="101"/>
      <c r="AA42" s="74" t="s">
        <v>64</v>
      </c>
      <c r="AU42" s="72"/>
      <c r="AY42" s="72"/>
    </row>
    <row r="43" spans="3:51" ht="20.25" customHeight="1" x14ac:dyDescent="0.2">
      <c r="C43" s="75">
        <v>1</v>
      </c>
      <c r="D43" s="90" t="s">
        <v>65</v>
      </c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2"/>
      <c r="P43" s="90" t="s">
        <v>66</v>
      </c>
      <c r="Q43" s="91"/>
      <c r="R43" s="91"/>
      <c r="S43" s="91"/>
      <c r="T43" s="91"/>
      <c r="U43" s="91"/>
      <c r="V43" s="91"/>
      <c r="W43" s="91"/>
      <c r="X43" s="91"/>
      <c r="Y43" s="91"/>
      <c r="Z43" s="92"/>
      <c r="AA43" s="76"/>
      <c r="AU43" s="72"/>
      <c r="AY43" s="72"/>
    </row>
    <row r="44" spans="3:51" ht="20.25" customHeight="1" x14ac:dyDescent="0.2">
      <c r="C44" s="75">
        <v>2</v>
      </c>
      <c r="D44" s="90" t="s">
        <v>67</v>
      </c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2"/>
      <c r="P44" s="90" t="s">
        <v>68</v>
      </c>
      <c r="Q44" s="91"/>
      <c r="R44" s="91"/>
      <c r="S44" s="91"/>
      <c r="T44" s="91"/>
      <c r="U44" s="91"/>
      <c r="V44" s="91"/>
      <c r="W44" s="91"/>
      <c r="X44" s="91"/>
      <c r="Y44" s="91"/>
      <c r="Z44" s="92"/>
      <c r="AA44" s="76"/>
      <c r="AU44" s="72"/>
      <c r="AY44" s="72"/>
    </row>
    <row r="45" spans="3:51" ht="20.25" customHeight="1" x14ac:dyDescent="0.2">
      <c r="C45" s="75">
        <v>3</v>
      </c>
      <c r="D45" s="90" t="s">
        <v>69</v>
      </c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2"/>
      <c r="P45" s="90" t="s">
        <v>70</v>
      </c>
      <c r="Q45" s="91"/>
      <c r="R45" s="91"/>
      <c r="S45" s="91"/>
      <c r="T45" s="91"/>
      <c r="U45" s="91"/>
      <c r="V45" s="91"/>
      <c r="W45" s="91"/>
      <c r="X45" s="91"/>
      <c r="Y45" s="91"/>
      <c r="Z45" s="92"/>
      <c r="AA45" s="76"/>
      <c r="AU45" s="72"/>
      <c r="AY45" s="72"/>
    </row>
    <row r="46" spans="3:51" ht="20.25" customHeight="1" x14ac:dyDescent="0.2">
      <c r="C46" s="75">
        <v>4</v>
      </c>
      <c r="D46" s="90" t="s">
        <v>71</v>
      </c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2"/>
      <c r="P46" s="90" t="s">
        <v>72</v>
      </c>
      <c r="Q46" s="91"/>
      <c r="R46" s="91"/>
      <c r="S46" s="91"/>
      <c r="T46" s="91"/>
      <c r="U46" s="91"/>
      <c r="V46" s="91"/>
      <c r="W46" s="91"/>
      <c r="X46" s="91"/>
      <c r="Y46" s="91"/>
      <c r="Z46" s="92"/>
      <c r="AA46" s="76"/>
      <c r="AU46" s="72"/>
      <c r="AY46" s="72"/>
    </row>
    <row r="47" spans="3:51" ht="20.25" customHeight="1" x14ac:dyDescent="0.2">
      <c r="C47" s="75">
        <v>5</v>
      </c>
      <c r="D47" s="90" t="s">
        <v>73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2"/>
      <c r="P47" s="90" t="s">
        <v>74</v>
      </c>
      <c r="Q47" s="91"/>
      <c r="R47" s="91"/>
      <c r="S47" s="91"/>
      <c r="T47" s="91"/>
      <c r="U47" s="91"/>
      <c r="V47" s="91"/>
      <c r="W47" s="91"/>
      <c r="X47" s="91"/>
      <c r="Y47" s="91"/>
      <c r="Z47" s="92"/>
      <c r="AA47" s="76"/>
      <c r="AU47" s="72"/>
      <c r="AY47" s="72"/>
    </row>
    <row r="48" spans="3:51" ht="20.25" customHeight="1" x14ac:dyDescent="0.2">
      <c r="C48" s="75">
        <v>6</v>
      </c>
      <c r="D48" s="90" t="s">
        <v>75</v>
      </c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2"/>
      <c r="P48" s="90" t="s">
        <v>76</v>
      </c>
      <c r="Q48" s="91"/>
      <c r="R48" s="91"/>
      <c r="S48" s="91"/>
      <c r="T48" s="91"/>
      <c r="U48" s="91"/>
      <c r="V48" s="91"/>
      <c r="W48" s="91"/>
      <c r="X48" s="91"/>
      <c r="Y48" s="91"/>
      <c r="Z48" s="92"/>
      <c r="AA48" s="76"/>
      <c r="AU48" s="72"/>
      <c r="AY48" s="72"/>
    </row>
    <row r="49" spans="3:51" ht="20.25" customHeight="1" x14ac:dyDescent="0.2">
      <c r="C49" s="75">
        <v>7</v>
      </c>
      <c r="D49" s="90" t="s">
        <v>77</v>
      </c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2"/>
      <c r="P49" s="90" t="s">
        <v>78</v>
      </c>
      <c r="Q49" s="91"/>
      <c r="R49" s="91"/>
      <c r="S49" s="91"/>
      <c r="T49" s="91"/>
      <c r="U49" s="91"/>
      <c r="V49" s="91"/>
      <c r="W49" s="91"/>
      <c r="X49" s="91"/>
      <c r="Y49" s="91"/>
      <c r="Z49" s="92"/>
      <c r="AA49" s="76"/>
      <c r="AU49" s="72"/>
      <c r="AY49" s="72"/>
    </row>
    <row r="50" spans="3:51" ht="20.25" customHeight="1" x14ac:dyDescent="0.2">
      <c r="C50" s="75">
        <v>8</v>
      </c>
      <c r="D50" s="90" t="s">
        <v>79</v>
      </c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2"/>
      <c r="P50" s="90" t="s">
        <v>80</v>
      </c>
      <c r="Q50" s="91"/>
      <c r="R50" s="91"/>
      <c r="S50" s="91"/>
      <c r="T50" s="91"/>
      <c r="U50" s="91"/>
      <c r="V50" s="91"/>
      <c r="W50" s="91"/>
      <c r="X50" s="91"/>
      <c r="Y50" s="91"/>
      <c r="Z50" s="92"/>
      <c r="AA50" s="76"/>
      <c r="AU50" s="72"/>
      <c r="AY50" s="72"/>
    </row>
  </sheetData>
  <autoFilter ref="A1:AP1" xr:uid="{00000000-0001-0000-0200-000000000000}"/>
  <mergeCells count="19">
    <mergeCell ref="D48:O48"/>
    <mergeCell ref="P48:Z48"/>
    <mergeCell ref="D49:O49"/>
    <mergeCell ref="P49:Z49"/>
    <mergeCell ref="D50:O50"/>
    <mergeCell ref="P50:Z50"/>
    <mergeCell ref="D45:O45"/>
    <mergeCell ref="P45:Z45"/>
    <mergeCell ref="D46:O46"/>
    <mergeCell ref="P46:Z46"/>
    <mergeCell ref="D47:O47"/>
    <mergeCell ref="P47:Z47"/>
    <mergeCell ref="D44:O44"/>
    <mergeCell ref="P44:Z44"/>
    <mergeCell ref="C40:E41"/>
    <mergeCell ref="D42:O42"/>
    <mergeCell ref="P42:Z42"/>
    <mergeCell ref="D43:O43"/>
    <mergeCell ref="P43:Z43"/>
  </mergeCells>
  <phoneticPr fontId="2"/>
  <conditionalFormatting sqref="E2:E21">
    <cfRule type="containsText" dxfId="113" priority="27" operator="containsText" text="牝">
      <formula>NOT(ISERROR(SEARCH("牝",E2)))</formula>
    </cfRule>
    <cfRule type="containsText" dxfId="112" priority="26" operator="containsText" text="セ">
      <formula>NOT(ISERROR(SEARCH("セ",E2)))</formula>
    </cfRule>
    <cfRule type="containsText" dxfId="111" priority="25" operator="containsText" text="せん">
      <formula>NOT(ISERROR(SEARCH("せん",E2)))</formula>
    </cfRule>
  </conditionalFormatting>
  <conditionalFormatting sqref="H2:H14 O2:O14 V2:V14 AC2:AC14">
    <cfRule type="containsText" dxfId="110" priority="28" operator="containsText" text="阪神">
      <formula>NOT(ISERROR(SEARCH("阪神",H2)))</formula>
    </cfRule>
  </conditionalFormatting>
  <conditionalFormatting sqref="H16:H21 O16:O21 V16:V21 AC16:AC21">
    <cfRule type="containsText" dxfId="109" priority="13" operator="containsText" text="中山">
      <formula>NOT(ISERROR(SEARCH("中山",H16)))</formula>
    </cfRule>
  </conditionalFormatting>
  <conditionalFormatting sqref="J2:J21 Q2:Q21 X2:X21 AE2:AE21">
    <cfRule type="cellIs" dxfId="108" priority="24" operator="equal">
      <formula>1</formula>
    </cfRule>
    <cfRule type="cellIs" dxfId="107" priority="23" operator="equal">
      <formula>2</formula>
    </cfRule>
    <cfRule type="cellIs" dxfId="106" priority="22" operator="between">
      <formula>3</formula>
      <formula>4</formula>
    </cfRule>
  </conditionalFormatting>
  <conditionalFormatting sqref="K2:K21 R2:R21 Y2:Y21 AF2:AF21">
    <cfRule type="cellIs" dxfId="105" priority="21" operator="lessThanOrEqual">
      <formula>0.6</formula>
    </cfRule>
  </conditionalFormatting>
  <conditionalFormatting sqref="AI2:AI21">
    <cfRule type="top10" dxfId="104" priority="12" bottom="1" rank="4"/>
  </conditionalFormatting>
  <conditionalFormatting sqref="AJ2:AJ15">
    <cfRule type="top10" dxfId="103" priority="32" bottom="1" rank="4"/>
  </conditionalFormatting>
  <conditionalFormatting sqref="AJ16:AJ21">
    <cfRule type="top10" dxfId="102" priority="20" bottom="1" rank="4"/>
  </conditionalFormatting>
  <conditionalFormatting sqref="AK2:AK15">
    <cfRule type="top10" dxfId="101" priority="30" rank="4"/>
  </conditionalFormatting>
  <conditionalFormatting sqref="AK16:AK21">
    <cfRule type="top10" dxfId="100" priority="18" rank="4"/>
  </conditionalFormatting>
  <conditionalFormatting sqref="AL23">
    <cfRule type="containsText" dxfId="99" priority="40" operator="containsText" text="先行">
      <formula>NOT(ISERROR(SEARCH("先行",AL23)))</formula>
    </cfRule>
    <cfRule type="containsText" dxfId="98" priority="41" operator="containsText" text="逃げ">
      <formula>NOT(ISERROR(SEARCH("逃げ",AL23)))</formula>
    </cfRule>
    <cfRule type="containsText" dxfId="97" priority="42" operator="containsText" text="先行差し">
      <formula>NOT(ISERROR(SEARCH("先行差し",AL23)))</formula>
    </cfRule>
  </conditionalFormatting>
  <conditionalFormatting sqref="AL2:AN15">
    <cfRule type="top10" dxfId="96" priority="29" rank="4"/>
  </conditionalFormatting>
  <conditionalFormatting sqref="AL16:AN21">
    <cfRule type="top10" dxfId="95" priority="17" rank="4"/>
  </conditionalFormatting>
  <conditionalFormatting sqref="AO2:AO15">
    <cfRule type="top10" dxfId="94" priority="31" rank="4"/>
  </conditionalFormatting>
  <conditionalFormatting sqref="AO16:AO21">
    <cfRule type="top10" dxfId="93" priority="19" rank="4"/>
  </conditionalFormatting>
  <conditionalFormatting sqref="AP2:AP21">
    <cfRule type="containsText" dxfId="92" priority="16" operator="containsText" text="先行差し">
      <formula>NOT(ISERROR(SEARCH("先行差し",AP2)))</formula>
    </cfRule>
    <cfRule type="containsText" dxfId="91" priority="15" operator="containsText" text="逃げ">
      <formula>NOT(ISERROR(SEARCH("逃げ",AP2)))</formula>
    </cfRule>
    <cfRule type="containsText" dxfId="90" priority="14" operator="containsText" text="先行">
      <formula>NOT(ISERROR(SEARCH("先行",AP2)))</formula>
    </cfRule>
  </conditionalFormatting>
  <conditionalFormatting sqref="AQ2:AQ9">
    <cfRule type="containsText" dxfId="89" priority="34" operator="containsText" text="先行">
      <formula>NOT(ISERROR(SEARCH("先行",AQ2)))</formula>
    </cfRule>
    <cfRule type="containsText" dxfId="88" priority="35" operator="containsText" text="逃げ">
      <formula>NOT(ISERROR(SEARCH("逃げ",AQ2)))</formula>
    </cfRule>
    <cfRule type="containsText" dxfId="87" priority="36" operator="containsText" text="先行差し">
      <formula>NOT(ISERROR(SEARCH("先行差し",AQ2)))</formula>
    </cfRule>
  </conditionalFormatting>
  <conditionalFormatting sqref="AQ2:AQ21">
    <cfRule type="top10" dxfId="86" priority="33" bottom="1" rank="4"/>
  </conditionalFormatting>
  <conditionalFormatting sqref="AR2:AR21">
    <cfRule type="top10" dxfId="85" priority="10" bottom="1" rank="4"/>
  </conditionalFormatting>
  <conditionalFormatting sqref="AS2:AS21">
    <cfRule type="containsText" dxfId="84" priority="6" operator="containsText" text="先行">
      <formula>NOT(ISERROR(SEARCH("先行",AS2)))</formula>
    </cfRule>
    <cfRule type="containsText" dxfId="83" priority="8" operator="containsText" text="先行差し">
      <formula>NOT(ISERROR(SEARCH("先行差し",AS2)))</formula>
    </cfRule>
    <cfRule type="containsText" dxfId="82" priority="7" operator="containsText" text="逃げ">
      <formula>NOT(ISERROR(SEARCH("逃げ",AS2)))</formula>
    </cfRule>
  </conditionalFormatting>
  <conditionalFormatting sqref="AT2:AT21">
    <cfRule type="cellIs" dxfId="81" priority="11" operator="greaterThanOrEqual">
      <formula>0.6</formula>
    </cfRule>
  </conditionalFormatting>
  <conditionalFormatting sqref="AU2:AU21">
    <cfRule type="top10" dxfId="80" priority="9" bottom="1" rank="4"/>
  </conditionalFormatting>
  <conditionalFormatting sqref="AV2:AV21">
    <cfRule type="top10" dxfId="79" priority="2" bottom="1" rank="4"/>
  </conditionalFormatting>
  <conditionalFormatting sqref="AV2:AX21">
    <cfRule type="containsText" dxfId="78" priority="3" operator="containsText" text="先行">
      <formula>NOT(ISERROR(SEARCH("先行",AV2)))</formula>
    </cfRule>
    <cfRule type="containsText" dxfId="77" priority="4" operator="containsText" text="逃げ">
      <formula>NOT(ISERROR(SEARCH("逃げ",AV2)))</formula>
    </cfRule>
    <cfRule type="containsText" dxfId="76" priority="5" operator="containsText" text="先行差し">
      <formula>NOT(ISERROR(SEARCH("先行差し",AV2)))</formula>
    </cfRule>
  </conditionalFormatting>
  <conditionalFormatting sqref="AX2:AX12">
    <cfRule type="containsText" dxfId="75" priority="1" operator="containsText" text="B">
      <formula>NOT(ISERROR(SEARCH("B",AX2)))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50"/>
  <sheetViews>
    <sheetView zoomScale="55" zoomScaleNormal="5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25" sqref="D25:D27"/>
    </sheetView>
  </sheetViews>
  <sheetFormatPr defaultRowHeight="13.5" x14ac:dyDescent="0.15"/>
  <cols>
    <col min="1" max="3" width="5.25" customWidth="1"/>
    <col min="4" max="4" width="16.5" customWidth="1"/>
    <col min="5" max="5" width="7.5" customWidth="1"/>
    <col min="6" max="6" width="7.625" customWidth="1"/>
    <col min="24" max="25" width="5" customWidth="1"/>
    <col min="26" max="26" width="11.875" customWidth="1"/>
    <col min="27" max="27" width="5.75" customWidth="1"/>
    <col min="29" max="29" width="5.875" customWidth="1"/>
    <col min="30" max="30" width="7.625" customWidth="1"/>
    <col min="31" max="32" width="5.25" customWidth="1"/>
    <col min="33" max="33" width="12.25" customWidth="1"/>
    <col min="34" max="34" width="6.375" customWidth="1"/>
    <col min="35" max="35" width="8" customWidth="1"/>
    <col min="36" max="36" width="5.75" customWidth="1"/>
    <col min="37" max="40" width="4.375" customWidth="1"/>
    <col min="41" max="41" width="6.125" customWidth="1"/>
    <col min="42" max="42" width="11.125" customWidth="1"/>
  </cols>
  <sheetData>
    <row r="1" spans="1:52" ht="19.5" thickBot="1" x14ac:dyDescent="0.2">
      <c r="A1" s="3" t="s">
        <v>85</v>
      </c>
      <c r="B1" s="4" t="s">
        <v>0</v>
      </c>
      <c r="C1" s="4" t="s">
        <v>32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6" t="s">
        <v>33</v>
      </c>
      <c r="AJ1" s="7" t="s">
        <v>34</v>
      </c>
      <c r="AK1" s="6" t="s">
        <v>86</v>
      </c>
      <c r="AL1" s="8" t="s">
        <v>87</v>
      </c>
      <c r="AM1" s="8" t="s">
        <v>88</v>
      </c>
      <c r="AN1" s="7" t="s">
        <v>89</v>
      </c>
      <c r="AO1" s="9" t="s">
        <v>90</v>
      </c>
      <c r="AP1" s="10" t="s">
        <v>91</v>
      </c>
      <c r="AQ1" s="10" t="s">
        <v>48</v>
      </c>
      <c r="AR1" s="77" t="s">
        <v>92</v>
      </c>
      <c r="AS1" s="44" t="s">
        <v>93</v>
      </c>
      <c r="AT1" s="78" t="s">
        <v>94</v>
      </c>
      <c r="AU1" s="79" t="s">
        <v>95</v>
      </c>
      <c r="AV1" s="78" t="s">
        <v>34</v>
      </c>
      <c r="AW1" s="80" t="s">
        <v>96</v>
      </c>
      <c r="AX1" s="79"/>
      <c r="AY1" s="45" t="s">
        <v>49</v>
      </c>
      <c r="AZ1" s="87"/>
    </row>
    <row r="2" spans="1:52" ht="25.5" customHeight="1" x14ac:dyDescent="0.2">
      <c r="A2" s="2"/>
      <c r="B2" s="2"/>
      <c r="C2" s="2"/>
      <c r="D2" s="2"/>
      <c r="E2" s="5"/>
      <c r="F2" s="2"/>
      <c r="G2" s="2"/>
      <c r="H2" s="19"/>
      <c r="I2" s="2"/>
      <c r="J2" s="18"/>
      <c r="K2" s="18"/>
      <c r="L2" s="2"/>
      <c r="M2" s="2"/>
      <c r="N2" s="2"/>
      <c r="O2" s="19"/>
      <c r="P2" s="2"/>
      <c r="Q2" s="18"/>
      <c r="R2" s="18"/>
      <c r="S2" s="2"/>
      <c r="T2" s="2"/>
      <c r="U2" s="2"/>
      <c r="V2" s="19"/>
      <c r="W2" s="2"/>
      <c r="X2" s="18"/>
      <c r="Y2" s="18"/>
      <c r="Z2" s="2"/>
      <c r="AA2" s="2"/>
      <c r="AB2" s="2"/>
      <c r="AC2" s="19"/>
      <c r="AD2" s="2"/>
      <c r="AE2" s="18"/>
      <c r="AF2" s="18"/>
      <c r="AG2" s="2"/>
      <c r="AH2" s="2"/>
      <c r="AI2" s="11">
        <f t="shared" ref="AI2:AI21" si="0">MIN(AH2,AA2,T2,M2)</f>
        <v>0</v>
      </c>
      <c r="AJ2" s="12">
        <f t="shared" ref="AJ2:AJ21" si="1">SUM(K2,R2,Y2,AF2)</f>
        <v>0</v>
      </c>
      <c r="AK2" s="13">
        <f t="shared" ref="AK2:AK21" si="2">COUNTIF(AE2,1)+COUNTIF(X2,1)+COUNTIF(Q2,1)+COUNTIF(J2,1)</f>
        <v>0</v>
      </c>
      <c r="AL2" s="14">
        <f t="shared" ref="AL2:AL21" si="3">COUNTIF(AE2,2)+COUNTIF(X2,2)+COUNTIF(Q2,2)+COUNTIF(J2,2)</f>
        <v>0</v>
      </c>
      <c r="AM2" s="14">
        <f t="shared" ref="AM2:AM21" si="4">COUNTIF(AE2,3)+COUNTIF(X2,3)+COUNTIF(Q2,3)+COUNTIF(J2,3)</f>
        <v>0</v>
      </c>
      <c r="AN2" s="15">
        <f t="shared" ref="AN2:AN21" si="5">COUNTIF(AE2,4)+COUNTIF(X2,4)+COUNTIF(Q2,4)+COUNTIF(J2,4)</f>
        <v>0</v>
      </c>
      <c r="AO2" s="16">
        <f t="shared" ref="AO2:AO21" si="6">SUM(AK2:AN2)</f>
        <v>0</v>
      </c>
      <c r="AP2" s="17"/>
      <c r="AQ2" s="46"/>
      <c r="AR2" s="47"/>
      <c r="AS2" s="48"/>
      <c r="AT2" s="81"/>
      <c r="AU2" s="82"/>
      <c r="AV2" s="83">
        <f t="shared" ref="AV2:AV21" si="7">SUM(J2,Q2,X2,AE2)</f>
        <v>0</v>
      </c>
      <c r="AW2" s="84"/>
      <c r="AX2" s="85"/>
      <c r="AY2" s="49"/>
      <c r="AZ2" s="88">
        <v>1</v>
      </c>
    </row>
    <row r="3" spans="1:52" ht="25.5" customHeight="1" x14ac:dyDescent="0.2">
      <c r="A3" s="2"/>
      <c r="B3" s="2"/>
      <c r="C3" s="2"/>
      <c r="D3" s="2"/>
      <c r="E3" s="5"/>
      <c r="F3" s="2"/>
      <c r="G3" s="2"/>
      <c r="H3" s="19"/>
      <c r="I3" s="2"/>
      <c r="J3" s="18"/>
      <c r="K3" s="18"/>
      <c r="L3" s="2"/>
      <c r="M3" s="2"/>
      <c r="N3" s="2"/>
      <c r="O3" s="19"/>
      <c r="P3" s="2"/>
      <c r="Q3" s="18"/>
      <c r="R3" s="18"/>
      <c r="S3" s="2"/>
      <c r="T3" s="2"/>
      <c r="U3" s="2"/>
      <c r="V3" s="19"/>
      <c r="W3" s="2"/>
      <c r="X3" s="18"/>
      <c r="Y3" s="18"/>
      <c r="Z3" s="2"/>
      <c r="AA3" s="2"/>
      <c r="AB3" s="2"/>
      <c r="AC3" s="19"/>
      <c r="AD3" s="2"/>
      <c r="AE3" s="18"/>
      <c r="AF3" s="18"/>
      <c r="AG3" s="2"/>
      <c r="AH3" s="2"/>
      <c r="AI3" s="11">
        <f t="shared" si="0"/>
        <v>0</v>
      </c>
      <c r="AJ3" s="12">
        <f t="shared" si="1"/>
        <v>0</v>
      </c>
      <c r="AK3" s="13">
        <f t="shared" si="2"/>
        <v>0</v>
      </c>
      <c r="AL3" s="14">
        <f t="shared" si="3"/>
        <v>0</v>
      </c>
      <c r="AM3" s="14">
        <f t="shared" si="4"/>
        <v>0</v>
      </c>
      <c r="AN3" s="15">
        <f t="shared" si="5"/>
        <v>0</v>
      </c>
      <c r="AO3" s="16">
        <f t="shared" si="6"/>
        <v>0</v>
      </c>
      <c r="AP3" s="17"/>
      <c r="AQ3" s="46"/>
      <c r="AR3" s="47"/>
      <c r="AS3" s="48"/>
      <c r="AT3" s="83"/>
      <c r="AU3" s="82"/>
      <c r="AV3" s="83">
        <f t="shared" si="7"/>
        <v>0</v>
      </c>
      <c r="AW3" s="84"/>
      <c r="AX3" s="85"/>
      <c r="AY3" s="50"/>
      <c r="AZ3" s="88">
        <v>2</v>
      </c>
    </row>
    <row r="4" spans="1:52" ht="25.5" customHeight="1" x14ac:dyDescent="0.2">
      <c r="A4" s="2"/>
      <c r="B4" s="2"/>
      <c r="C4" s="2"/>
      <c r="D4" s="2"/>
      <c r="E4" s="5"/>
      <c r="F4" s="2"/>
      <c r="G4" s="2"/>
      <c r="H4" s="19"/>
      <c r="I4" s="2"/>
      <c r="J4" s="18"/>
      <c r="K4" s="18"/>
      <c r="L4" s="2"/>
      <c r="M4" s="2"/>
      <c r="N4" s="2"/>
      <c r="O4" s="19"/>
      <c r="P4" s="2"/>
      <c r="Q4" s="18"/>
      <c r="R4" s="18"/>
      <c r="S4" s="2"/>
      <c r="T4" s="2"/>
      <c r="U4" s="2"/>
      <c r="V4" s="19"/>
      <c r="W4" s="2"/>
      <c r="X4" s="18"/>
      <c r="Y4" s="18"/>
      <c r="Z4" s="2"/>
      <c r="AA4" s="2"/>
      <c r="AB4" s="2"/>
      <c r="AC4" s="19"/>
      <c r="AD4" s="2"/>
      <c r="AE4" s="18"/>
      <c r="AF4" s="18"/>
      <c r="AG4" s="2"/>
      <c r="AH4" s="2"/>
      <c r="AI4" s="11">
        <f t="shared" si="0"/>
        <v>0</v>
      </c>
      <c r="AJ4" s="12">
        <f t="shared" si="1"/>
        <v>0</v>
      </c>
      <c r="AK4" s="13">
        <f t="shared" si="2"/>
        <v>0</v>
      </c>
      <c r="AL4" s="14">
        <f t="shared" si="3"/>
        <v>0</v>
      </c>
      <c r="AM4" s="14">
        <f t="shared" si="4"/>
        <v>0</v>
      </c>
      <c r="AN4" s="15">
        <f t="shared" si="5"/>
        <v>0</v>
      </c>
      <c r="AO4" s="16">
        <f t="shared" si="6"/>
        <v>0</v>
      </c>
      <c r="AP4" s="17"/>
      <c r="AQ4" s="47"/>
      <c r="AR4" s="47"/>
      <c r="AS4" s="48"/>
      <c r="AT4" s="86"/>
      <c r="AU4" s="82"/>
      <c r="AV4" s="83">
        <f t="shared" si="7"/>
        <v>0</v>
      </c>
      <c r="AW4" s="84"/>
      <c r="AX4" s="85"/>
      <c r="AY4" s="50"/>
      <c r="AZ4" s="88">
        <v>3</v>
      </c>
    </row>
    <row r="5" spans="1:52" ht="25.5" customHeight="1" x14ac:dyDescent="0.2">
      <c r="A5" s="2"/>
      <c r="B5" s="2"/>
      <c r="C5" s="2"/>
      <c r="D5" s="2"/>
      <c r="E5" s="5"/>
      <c r="F5" s="2"/>
      <c r="G5" s="2"/>
      <c r="H5" s="19"/>
      <c r="I5" s="2"/>
      <c r="J5" s="18"/>
      <c r="K5" s="18"/>
      <c r="L5" s="2"/>
      <c r="M5" s="2"/>
      <c r="N5" s="2"/>
      <c r="O5" s="19"/>
      <c r="P5" s="2"/>
      <c r="Q5" s="18"/>
      <c r="R5" s="18"/>
      <c r="S5" s="2"/>
      <c r="T5" s="2"/>
      <c r="U5" s="2"/>
      <c r="V5" s="19"/>
      <c r="W5" s="2"/>
      <c r="X5" s="18"/>
      <c r="Y5" s="18"/>
      <c r="Z5" s="2"/>
      <c r="AA5" s="2"/>
      <c r="AB5" s="2"/>
      <c r="AC5" s="19"/>
      <c r="AD5" s="2"/>
      <c r="AE5" s="18"/>
      <c r="AF5" s="18"/>
      <c r="AG5" s="2"/>
      <c r="AH5" s="2"/>
      <c r="AI5" s="11">
        <f t="shared" si="0"/>
        <v>0</v>
      </c>
      <c r="AJ5" s="12">
        <f t="shared" si="1"/>
        <v>0</v>
      </c>
      <c r="AK5" s="13">
        <f t="shared" si="2"/>
        <v>0</v>
      </c>
      <c r="AL5" s="14">
        <f t="shared" si="3"/>
        <v>0</v>
      </c>
      <c r="AM5" s="14">
        <f t="shared" si="4"/>
        <v>0</v>
      </c>
      <c r="AN5" s="15">
        <f t="shared" si="5"/>
        <v>0</v>
      </c>
      <c r="AO5" s="16">
        <f t="shared" si="6"/>
        <v>0</v>
      </c>
      <c r="AP5" s="17"/>
      <c r="AQ5" s="46"/>
      <c r="AR5" s="47"/>
      <c r="AS5" s="48"/>
      <c r="AT5" s="86"/>
      <c r="AU5" s="82"/>
      <c r="AV5" s="83">
        <f t="shared" si="7"/>
        <v>0</v>
      </c>
      <c r="AW5" s="84"/>
      <c r="AX5" s="85"/>
      <c r="AY5" s="50"/>
      <c r="AZ5" s="88">
        <v>4</v>
      </c>
    </row>
    <row r="6" spans="1:52" ht="25.5" customHeight="1" x14ac:dyDescent="0.2">
      <c r="A6" s="2"/>
      <c r="B6" s="2"/>
      <c r="C6" s="2"/>
      <c r="D6" s="2"/>
      <c r="E6" s="5"/>
      <c r="F6" s="2"/>
      <c r="G6" s="2"/>
      <c r="H6" s="19"/>
      <c r="I6" s="2"/>
      <c r="J6" s="18"/>
      <c r="K6" s="18"/>
      <c r="L6" s="2"/>
      <c r="M6" s="2"/>
      <c r="N6" s="2"/>
      <c r="O6" s="19"/>
      <c r="P6" s="2"/>
      <c r="Q6" s="18"/>
      <c r="R6" s="18"/>
      <c r="S6" s="2"/>
      <c r="T6" s="2"/>
      <c r="U6" s="2"/>
      <c r="V6" s="19"/>
      <c r="W6" s="2"/>
      <c r="X6" s="18"/>
      <c r="Y6" s="18"/>
      <c r="Z6" s="2"/>
      <c r="AA6" s="2"/>
      <c r="AB6" s="2"/>
      <c r="AC6" s="19"/>
      <c r="AD6" s="2"/>
      <c r="AE6" s="18"/>
      <c r="AF6" s="18"/>
      <c r="AG6" s="2"/>
      <c r="AH6" s="2"/>
      <c r="AI6" s="11">
        <f t="shared" si="0"/>
        <v>0</v>
      </c>
      <c r="AJ6" s="12">
        <f t="shared" si="1"/>
        <v>0</v>
      </c>
      <c r="AK6" s="13">
        <f t="shared" si="2"/>
        <v>0</v>
      </c>
      <c r="AL6" s="14">
        <f t="shared" si="3"/>
        <v>0</v>
      </c>
      <c r="AM6" s="14">
        <f t="shared" si="4"/>
        <v>0</v>
      </c>
      <c r="AN6" s="15">
        <f t="shared" si="5"/>
        <v>0</v>
      </c>
      <c r="AO6" s="16">
        <f t="shared" si="6"/>
        <v>0</v>
      </c>
      <c r="AP6" s="17"/>
      <c r="AQ6" s="46"/>
      <c r="AR6" s="47"/>
      <c r="AS6" s="48"/>
      <c r="AT6" s="83"/>
      <c r="AU6" s="82"/>
      <c r="AV6" s="83">
        <f t="shared" si="7"/>
        <v>0</v>
      </c>
      <c r="AW6" s="84"/>
      <c r="AX6" s="85"/>
      <c r="AY6" s="50"/>
      <c r="AZ6" s="88">
        <v>5</v>
      </c>
    </row>
    <row r="7" spans="1:52" ht="25.5" customHeight="1" x14ac:dyDescent="0.2">
      <c r="A7" s="2"/>
      <c r="B7" s="2"/>
      <c r="C7" s="2"/>
      <c r="D7" s="2"/>
      <c r="E7" s="5"/>
      <c r="F7" s="2"/>
      <c r="G7" s="2"/>
      <c r="H7" s="19"/>
      <c r="I7" s="2"/>
      <c r="J7" s="18"/>
      <c r="K7" s="18"/>
      <c r="L7" s="2"/>
      <c r="M7" s="2"/>
      <c r="N7" s="2"/>
      <c r="O7" s="19"/>
      <c r="P7" s="2"/>
      <c r="Q7" s="18"/>
      <c r="R7" s="18"/>
      <c r="S7" s="2"/>
      <c r="T7" s="2"/>
      <c r="U7" s="2"/>
      <c r="V7" s="19"/>
      <c r="W7" s="2"/>
      <c r="X7" s="18"/>
      <c r="Y7" s="18"/>
      <c r="Z7" s="2"/>
      <c r="AA7" s="2"/>
      <c r="AB7" s="2"/>
      <c r="AC7" s="19"/>
      <c r="AD7" s="2"/>
      <c r="AE7" s="18"/>
      <c r="AF7" s="18"/>
      <c r="AG7" s="2"/>
      <c r="AH7" s="2"/>
      <c r="AI7" s="11">
        <f t="shared" si="0"/>
        <v>0</v>
      </c>
      <c r="AJ7" s="12">
        <f t="shared" si="1"/>
        <v>0</v>
      </c>
      <c r="AK7" s="13">
        <f t="shared" si="2"/>
        <v>0</v>
      </c>
      <c r="AL7" s="14">
        <f t="shared" si="3"/>
        <v>0</v>
      </c>
      <c r="AM7" s="14">
        <f t="shared" si="4"/>
        <v>0</v>
      </c>
      <c r="AN7" s="15">
        <f t="shared" si="5"/>
        <v>0</v>
      </c>
      <c r="AO7" s="16">
        <f t="shared" si="6"/>
        <v>0</v>
      </c>
      <c r="AP7" s="17"/>
      <c r="AQ7" s="46"/>
      <c r="AR7" s="47"/>
      <c r="AS7" s="48"/>
      <c r="AT7" s="83"/>
      <c r="AU7" s="82"/>
      <c r="AV7" s="83">
        <f t="shared" si="7"/>
        <v>0</v>
      </c>
      <c r="AW7" s="84"/>
      <c r="AX7" s="85"/>
      <c r="AY7" s="50"/>
      <c r="AZ7" s="88">
        <v>6</v>
      </c>
    </row>
    <row r="8" spans="1:52" ht="25.5" customHeight="1" x14ac:dyDescent="0.2">
      <c r="A8" s="2"/>
      <c r="B8" s="2"/>
      <c r="C8" s="2"/>
      <c r="D8" s="2"/>
      <c r="E8" s="5"/>
      <c r="F8" s="2"/>
      <c r="G8" s="2"/>
      <c r="H8" s="19"/>
      <c r="I8" s="2"/>
      <c r="J8" s="18"/>
      <c r="K8" s="18"/>
      <c r="L8" s="2"/>
      <c r="M8" s="2"/>
      <c r="N8" s="2"/>
      <c r="O8" s="19"/>
      <c r="P8" s="2"/>
      <c r="Q8" s="18"/>
      <c r="R8" s="18"/>
      <c r="S8" s="2"/>
      <c r="T8" s="2"/>
      <c r="U8" s="2"/>
      <c r="V8" s="19"/>
      <c r="W8" s="2"/>
      <c r="X8" s="18"/>
      <c r="Y8" s="18"/>
      <c r="Z8" s="2"/>
      <c r="AA8" s="2"/>
      <c r="AB8" s="2"/>
      <c r="AC8" s="19"/>
      <c r="AD8" s="2"/>
      <c r="AE8" s="18"/>
      <c r="AF8" s="18"/>
      <c r="AG8" s="2"/>
      <c r="AH8" s="2"/>
      <c r="AI8" s="11">
        <f t="shared" si="0"/>
        <v>0</v>
      </c>
      <c r="AJ8" s="12">
        <f t="shared" si="1"/>
        <v>0</v>
      </c>
      <c r="AK8" s="13">
        <f t="shared" si="2"/>
        <v>0</v>
      </c>
      <c r="AL8" s="14">
        <f t="shared" si="3"/>
        <v>0</v>
      </c>
      <c r="AM8" s="14">
        <f t="shared" si="4"/>
        <v>0</v>
      </c>
      <c r="AN8" s="15">
        <f t="shared" si="5"/>
        <v>0</v>
      </c>
      <c r="AO8" s="16">
        <f t="shared" si="6"/>
        <v>0</v>
      </c>
      <c r="AP8" s="17"/>
      <c r="AQ8" s="47"/>
      <c r="AR8" s="47"/>
      <c r="AS8" s="48"/>
      <c r="AT8" s="86"/>
      <c r="AU8" s="82"/>
      <c r="AV8" s="83">
        <f t="shared" si="7"/>
        <v>0</v>
      </c>
      <c r="AW8" s="84"/>
      <c r="AX8" s="85"/>
      <c r="AY8" s="50"/>
      <c r="AZ8" s="88">
        <v>7</v>
      </c>
    </row>
    <row r="9" spans="1:52" ht="25.5" customHeight="1" x14ac:dyDescent="0.2">
      <c r="A9" s="2"/>
      <c r="B9" s="2"/>
      <c r="C9" s="2"/>
      <c r="D9" s="2"/>
      <c r="E9" s="5"/>
      <c r="F9" s="2"/>
      <c r="G9" s="2"/>
      <c r="H9" s="19"/>
      <c r="I9" s="2"/>
      <c r="J9" s="18"/>
      <c r="K9" s="18"/>
      <c r="L9" s="2"/>
      <c r="M9" s="2"/>
      <c r="N9" s="2"/>
      <c r="O9" s="19"/>
      <c r="P9" s="2"/>
      <c r="Q9" s="18"/>
      <c r="R9" s="18"/>
      <c r="S9" s="2"/>
      <c r="T9" s="2"/>
      <c r="U9" s="2"/>
      <c r="V9" s="19"/>
      <c r="W9" s="2"/>
      <c r="X9" s="18"/>
      <c r="Y9" s="18"/>
      <c r="Z9" s="2"/>
      <c r="AA9" s="2"/>
      <c r="AB9" s="2"/>
      <c r="AC9" s="19"/>
      <c r="AD9" s="2"/>
      <c r="AE9" s="18"/>
      <c r="AF9" s="18"/>
      <c r="AG9" s="2"/>
      <c r="AH9" s="2"/>
      <c r="AI9" s="11">
        <f t="shared" si="0"/>
        <v>0</v>
      </c>
      <c r="AJ9" s="12">
        <f t="shared" si="1"/>
        <v>0</v>
      </c>
      <c r="AK9" s="13">
        <f t="shared" si="2"/>
        <v>0</v>
      </c>
      <c r="AL9" s="14">
        <f t="shared" si="3"/>
        <v>0</v>
      </c>
      <c r="AM9" s="14">
        <f t="shared" si="4"/>
        <v>0</v>
      </c>
      <c r="AN9" s="15">
        <f t="shared" si="5"/>
        <v>0</v>
      </c>
      <c r="AO9" s="16">
        <f t="shared" si="6"/>
        <v>0</v>
      </c>
      <c r="AP9" s="17"/>
      <c r="AQ9" s="47"/>
      <c r="AR9" s="47"/>
      <c r="AS9" s="48"/>
      <c r="AT9" s="83"/>
      <c r="AU9" s="82"/>
      <c r="AV9" s="83">
        <f t="shared" si="7"/>
        <v>0</v>
      </c>
      <c r="AW9" s="84"/>
      <c r="AX9" s="85"/>
      <c r="AY9" s="50"/>
      <c r="AZ9" s="88">
        <v>8</v>
      </c>
    </row>
    <row r="10" spans="1:52" ht="25.5" customHeight="1" x14ac:dyDescent="0.2">
      <c r="A10" s="2"/>
      <c r="B10" s="2"/>
      <c r="C10" s="2"/>
      <c r="D10" s="2"/>
      <c r="E10" s="5"/>
      <c r="F10" s="2"/>
      <c r="G10" s="2"/>
      <c r="H10" s="19"/>
      <c r="I10" s="2"/>
      <c r="J10" s="18"/>
      <c r="K10" s="18"/>
      <c r="L10" s="2"/>
      <c r="M10" s="2"/>
      <c r="N10" s="2"/>
      <c r="O10" s="19"/>
      <c r="P10" s="2"/>
      <c r="Q10" s="18"/>
      <c r="R10" s="18"/>
      <c r="S10" s="2"/>
      <c r="T10" s="2"/>
      <c r="U10" s="2"/>
      <c r="V10" s="19"/>
      <c r="W10" s="2"/>
      <c r="X10" s="18"/>
      <c r="Y10" s="18"/>
      <c r="Z10" s="2"/>
      <c r="AA10" s="2"/>
      <c r="AB10" s="2"/>
      <c r="AC10" s="19"/>
      <c r="AD10" s="2"/>
      <c r="AE10" s="18"/>
      <c r="AF10" s="18"/>
      <c r="AG10" s="2"/>
      <c r="AH10" s="2"/>
      <c r="AI10" s="11">
        <f t="shared" si="0"/>
        <v>0</v>
      </c>
      <c r="AJ10" s="12">
        <f t="shared" si="1"/>
        <v>0</v>
      </c>
      <c r="AK10" s="13">
        <f t="shared" si="2"/>
        <v>0</v>
      </c>
      <c r="AL10" s="14">
        <f t="shared" si="3"/>
        <v>0</v>
      </c>
      <c r="AM10" s="14">
        <f t="shared" si="4"/>
        <v>0</v>
      </c>
      <c r="AN10" s="15">
        <f t="shared" si="5"/>
        <v>0</v>
      </c>
      <c r="AO10" s="16">
        <f t="shared" si="6"/>
        <v>0</v>
      </c>
      <c r="AP10" s="17"/>
      <c r="AQ10" s="47"/>
      <c r="AR10" s="47"/>
      <c r="AS10" s="48"/>
      <c r="AT10" s="83"/>
      <c r="AU10" s="82"/>
      <c r="AV10" s="83">
        <f t="shared" si="7"/>
        <v>0</v>
      </c>
      <c r="AW10" s="84"/>
      <c r="AX10" s="85"/>
      <c r="AY10" s="50"/>
      <c r="AZ10" s="16">
        <v>9</v>
      </c>
    </row>
    <row r="11" spans="1:52" ht="25.5" customHeight="1" x14ac:dyDescent="0.2">
      <c r="A11" s="2"/>
      <c r="B11" s="2"/>
      <c r="C11" s="2"/>
      <c r="D11" s="2"/>
      <c r="E11" s="5"/>
      <c r="F11" s="2"/>
      <c r="G11" s="2"/>
      <c r="H11" s="19"/>
      <c r="I11" s="2"/>
      <c r="J11" s="18"/>
      <c r="K11" s="18"/>
      <c r="L11" s="2"/>
      <c r="M11" s="2"/>
      <c r="N11" s="2"/>
      <c r="O11" s="19"/>
      <c r="P11" s="2"/>
      <c r="Q11" s="18"/>
      <c r="R11" s="18"/>
      <c r="S11" s="2"/>
      <c r="T11" s="2"/>
      <c r="U11" s="2"/>
      <c r="V11" s="19"/>
      <c r="W11" s="2"/>
      <c r="X11" s="18"/>
      <c r="Y11" s="18"/>
      <c r="Z11" s="2"/>
      <c r="AA11" s="2"/>
      <c r="AB11" s="2"/>
      <c r="AC11" s="19"/>
      <c r="AD11" s="2"/>
      <c r="AE11" s="18"/>
      <c r="AF11" s="18"/>
      <c r="AG11" s="2"/>
      <c r="AH11" s="2"/>
      <c r="AI11" s="11">
        <f t="shared" si="0"/>
        <v>0</v>
      </c>
      <c r="AJ11" s="12">
        <f t="shared" si="1"/>
        <v>0</v>
      </c>
      <c r="AK11" s="13">
        <f t="shared" si="2"/>
        <v>0</v>
      </c>
      <c r="AL11" s="14">
        <f t="shared" si="3"/>
        <v>0</v>
      </c>
      <c r="AM11" s="14">
        <f t="shared" si="4"/>
        <v>0</v>
      </c>
      <c r="AN11" s="15">
        <f t="shared" si="5"/>
        <v>0</v>
      </c>
      <c r="AO11" s="16">
        <f t="shared" si="6"/>
        <v>0</v>
      </c>
      <c r="AP11" s="17"/>
      <c r="AQ11" s="47"/>
      <c r="AR11" s="47"/>
      <c r="AS11" s="48"/>
      <c r="AT11" s="86"/>
      <c r="AU11" s="82"/>
      <c r="AV11" s="83">
        <f t="shared" si="7"/>
        <v>0</v>
      </c>
      <c r="AW11" s="84"/>
      <c r="AX11" s="85"/>
      <c r="AY11" s="50"/>
      <c r="AZ11" s="88">
        <v>10</v>
      </c>
    </row>
    <row r="12" spans="1:52" ht="25.5" customHeight="1" x14ac:dyDescent="0.2">
      <c r="A12" s="2"/>
      <c r="B12" s="2"/>
      <c r="C12" s="2"/>
      <c r="D12" s="2"/>
      <c r="E12" s="5"/>
      <c r="F12" s="2"/>
      <c r="G12" s="2"/>
      <c r="H12" s="19"/>
      <c r="I12" s="2"/>
      <c r="J12" s="18"/>
      <c r="K12" s="18"/>
      <c r="L12" s="2"/>
      <c r="M12" s="2"/>
      <c r="N12" s="2"/>
      <c r="O12" s="19"/>
      <c r="P12" s="2"/>
      <c r="Q12" s="18"/>
      <c r="R12" s="18"/>
      <c r="S12" s="2"/>
      <c r="T12" s="2"/>
      <c r="U12" s="2"/>
      <c r="V12" s="19"/>
      <c r="W12" s="2"/>
      <c r="X12" s="18"/>
      <c r="Y12" s="18"/>
      <c r="Z12" s="2"/>
      <c r="AA12" s="2"/>
      <c r="AB12" s="2"/>
      <c r="AC12" s="19"/>
      <c r="AD12" s="2"/>
      <c r="AE12" s="18"/>
      <c r="AF12" s="18"/>
      <c r="AG12" s="2"/>
      <c r="AH12" s="2"/>
      <c r="AI12" s="11">
        <f t="shared" si="0"/>
        <v>0</v>
      </c>
      <c r="AJ12" s="12">
        <f t="shared" si="1"/>
        <v>0</v>
      </c>
      <c r="AK12" s="13">
        <f t="shared" si="2"/>
        <v>0</v>
      </c>
      <c r="AL12" s="14">
        <f t="shared" si="3"/>
        <v>0</v>
      </c>
      <c r="AM12" s="14">
        <f t="shared" si="4"/>
        <v>0</v>
      </c>
      <c r="AN12" s="15">
        <f t="shared" si="5"/>
        <v>0</v>
      </c>
      <c r="AO12" s="16">
        <f t="shared" si="6"/>
        <v>0</v>
      </c>
      <c r="AP12" s="17"/>
      <c r="AQ12" s="46"/>
      <c r="AR12" s="47"/>
      <c r="AS12" s="48"/>
      <c r="AT12" s="83"/>
      <c r="AU12" s="82"/>
      <c r="AV12" s="83">
        <f t="shared" si="7"/>
        <v>0</v>
      </c>
      <c r="AW12" s="84"/>
      <c r="AX12" s="85"/>
      <c r="AY12" s="50"/>
      <c r="AZ12" s="88">
        <v>11</v>
      </c>
    </row>
    <row r="13" spans="1:52" ht="25.5" customHeight="1" x14ac:dyDescent="0.2">
      <c r="A13" s="2"/>
      <c r="B13" s="2"/>
      <c r="C13" s="2"/>
      <c r="D13" s="2"/>
      <c r="E13" s="5"/>
      <c r="F13" s="2"/>
      <c r="G13" s="2"/>
      <c r="H13" s="19"/>
      <c r="I13" s="2"/>
      <c r="J13" s="18"/>
      <c r="K13" s="18"/>
      <c r="L13" s="2"/>
      <c r="M13" s="2"/>
      <c r="N13" s="2"/>
      <c r="O13" s="19"/>
      <c r="P13" s="2"/>
      <c r="Q13" s="18"/>
      <c r="R13" s="18"/>
      <c r="S13" s="2"/>
      <c r="T13" s="2"/>
      <c r="U13" s="2"/>
      <c r="V13" s="19"/>
      <c r="W13" s="2"/>
      <c r="X13" s="18"/>
      <c r="Y13" s="18"/>
      <c r="Z13" s="2"/>
      <c r="AA13" s="2"/>
      <c r="AB13" s="2"/>
      <c r="AC13" s="19"/>
      <c r="AD13" s="2"/>
      <c r="AE13" s="18"/>
      <c r="AF13" s="18"/>
      <c r="AG13" s="2"/>
      <c r="AH13" s="2"/>
      <c r="AI13" s="11">
        <f t="shared" si="0"/>
        <v>0</v>
      </c>
      <c r="AJ13" s="12">
        <f t="shared" si="1"/>
        <v>0</v>
      </c>
      <c r="AK13" s="13">
        <f t="shared" si="2"/>
        <v>0</v>
      </c>
      <c r="AL13" s="14">
        <f t="shared" si="3"/>
        <v>0</v>
      </c>
      <c r="AM13" s="14">
        <f t="shared" si="4"/>
        <v>0</v>
      </c>
      <c r="AN13" s="15">
        <f t="shared" si="5"/>
        <v>0</v>
      </c>
      <c r="AO13" s="16">
        <f t="shared" si="6"/>
        <v>0</v>
      </c>
      <c r="AP13" s="17"/>
      <c r="AQ13" s="47"/>
      <c r="AR13" s="47"/>
      <c r="AS13" s="48"/>
      <c r="AT13" s="83"/>
      <c r="AU13" s="82"/>
      <c r="AV13" s="83">
        <f t="shared" si="7"/>
        <v>0</v>
      </c>
      <c r="AW13" s="84"/>
      <c r="AX13" s="48"/>
      <c r="AY13" s="50"/>
      <c r="AZ13" s="88">
        <v>12</v>
      </c>
    </row>
    <row r="14" spans="1:52" ht="25.5" customHeight="1" x14ac:dyDescent="0.2">
      <c r="A14" s="2"/>
      <c r="B14" s="2"/>
      <c r="C14" s="2"/>
      <c r="D14" s="2"/>
      <c r="E14" s="5"/>
      <c r="F14" s="2"/>
      <c r="G14" s="2"/>
      <c r="H14" s="19"/>
      <c r="I14" s="2"/>
      <c r="J14" s="18"/>
      <c r="K14" s="18"/>
      <c r="L14" s="2"/>
      <c r="M14" s="2"/>
      <c r="N14" s="2"/>
      <c r="O14" s="19"/>
      <c r="P14" s="2"/>
      <c r="Q14" s="18"/>
      <c r="R14" s="18"/>
      <c r="S14" s="2"/>
      <c r="T14" s="2"/>
      <c r="U14" s="2"/>
      <c r="V14" s="19"/>
      <c r="W14" s="2"/>
      <c r="X14" s="18"/>
      <c r="Y14" s="18"/>
      <c r="Z14" s="2"/>
      <c r="AA14" s="2"/>
      <c r="AB14" s="2"/>
      <c r="AC14" s="19"/>
      <c r="AD14" s="2"/>
      <c r="AE14" s="18"/>
      <c r="AF14" s="18"/>
      <c r="AG14" s="2"/>
      <c r="AH14" s="2"/>
      <c r="AI14" s="11">
        <f t="shared" si="0"/>
        <v>0</v>
      </c>
      <c r="AJ14" s="12">
        <f t="shared" si="1"/>
        <v>0</v>
      </c>
      <c r="AK14" s="13">
        <f t="shared" si="2"/>
        <v>0</v>
      </c>
      <c r="AL14" s="14">
        <f t="shared" si="3"/>
        <v>0</v>
      </c>
      <c r="AM14" s="14">
        <f t="shared" si="4"/>
        <v>0</v>
      </c>
      <c r="AN14" s="15">
        <f t="shared" si="5"/>
        <v>0</v>
      </c>
      <c r="AO14" s="16">
        <f t="shared" si="6"/>
        <v>0</v>
      </c>
      <c r="AP14" s="17"/>
      <c r="AQ14" s="46"/>
      <c r="AR14" s="47"/>
      <c r="AS14" s="48"/>
      <c r="AT14" s="83"/>
      <c r="AU14" s="82"/>
      <c r="AV14" s="83">
        <f t="shared" si="7"/>
        <v>0</v>
      </c>
      <c r="AW14" s="84"/>
      <c r="AX14" s="48"/>
      <c r="AY14" s="50"/>
      <c r="AZ14" s="88">
        <v>13</v>
      </c>
    </row>
    <row r="15" spans="1:52" ht="25.5" customHeight="1" x14ac:dyDescent="0.2">
      <c r="A15" s="2"/>
      <c r="B15" s="2"/>
      <c r="C15" s="2"/>
      <c r="D15" s="2"/>
      <c r="E15" s="5"/>
      <c r="F15" s="2"/>
      <c r="G15" s="2"/>
      <c r="H15" s="19"/>
      <c r="I15" s="2"/>
      <c r="J15" s="18"/>
      <c r="K15" s="18"/>
      <c r="L15" s="2"/>
      <c r="M15" s="2"/>
      <c r="N15" s="2"/>
      <c r="O15" s="19"/>
      <c r="P15" s="2"/>
      <c r="Q15" s="18"/>
      <c r="R15" s="18"/>
      <c r="S15" s="2"/>
      <c r="T15" s="2"/>
      <c r="U15" s="2"/>
      <c r="V15" s="19"/>
      <c r="W15" s="2"/>
      <c r="X15" s="18"/>
      <c r="Y15" s="18"/>
      <c r="Z15" s="2"/>
      <c r="AA15" s="2"/>
      <c r="AB15" s="2"/>
      <c r="AC15" s="19"/>
      <c r="AD15" s="2"/>
      <c r="AE15" s="18"/>
      <c r="AF15" s="18"/>
      <c r="AG15" s="2"/>
      <c r="AH15" s="2"/>
      <c r="AI15" s="11">
        <f t="shared" si="0"/>
        <v>0</v>
      </c>
      <c r="AJ15" s="12">
        <f t="shared" si="1"/>
        <v>0</v>
      </c>
      <c r="AK15" s="13">
        <f t="shared" si="2"/>
        <v>0</v>
      </c>
      <c r="AL15" s="14">
        <f t="shared" si="3"/>
        <v>0</v>
      </c>
      <c r="AM15" s="14">
        <f t="shared" si="4"/>
        <v>0</v>
      </c>
      <c r="AN15" s="15">
        <f t="shared" si="5"/>
        <v>0</v>
      </c>
      <c r="AO15" s="16">
        <f t="shared" si="6"/>
        <v>0</v>
      </c>
      <c r="AP15" s="17"/>
      <c r="AQ15" s="46"/>
      <c r="AR15" s="47"/>
      <c r="AS15" s="48"/>
      <c r="AT15" s="83"/>
      <c r="AU15" s="82"/>
      <c r="AV15" s="83">
        <f t="shared" si="7"/>
        <v>0</v>
      </c>
      <c r="AW15" s="84"/>
      <c r="AX15" s="48"/>
      <c r="AY15" s="50"/>
      <c r="AZ15" s="88">
        <v>14</v>
      </c>
    </row>
    <row r="16" spans="1:52" ht="25.5" customHeight="1" x14ac:dyDescent="0.2">
      <c r="A16" s="2"/>
      <c r="B16" s="2"/>
      <c r="C16" s="2"/>
      <c r="D16" s="2"/>
      <c r="E16" s="5"/>
      <c r="F16" s="2"/>
      <c r="G16" s="2"/>
      <c r="H16" s="19"/>
      <c r="I16" s="2"/>
      <c r="J16" s="18"/>
      <c r="K16" s="18"/>
      <c r="L16" s="2"/>
      <c r="M16" s="2"/>
      <c r="N16" s="2"/>
      <c r="O16" s="19"/>
      <c r="P16" s="2"/>
      <c r="Q16" s="18"/>
      <c r="R16" s="18"/>
      <c r="S16" s="2"/>
      <c r="T16" s="2"/>
      <c r="U16" s="2"/>
      <c r="V16" s="19"/>
      <c r="W16" s="2"/>
      <c r="X16" s="18"/>
      <c r="Y16" s="18"/>
      <c r="Z16" s="2"/>
      <c r="AA16" s="2"/>
      <c r="AB16" s="2"/>
      <c r="AC16" s="19"/>
      <c r="AD16" s="2"/>
      <c r="AE16" s="18"/>
      <c r="AF16" s="18"/>
      <c r="AG16" s="2"/>
      <c r="AH16" s="2"/>
      <c r="AI16" s="11">
        <f t="shared" si="0"/>
        <v>0</v>
      </c>
      <c r="AJ16" s="12">
        <f t="shared" si="1"/>
        <v>0</v>
      </c>
      <c r="AK16" s="13">
        <f t="shared" si="2"/>
        <v>0</v>
      </c>
      <c r="AL16" s="14">
        <f t="shared" si="3"/>
        <v>0</v>
      </c>
      <c r="AM16" s="14">
        <f t="shared" si="4"/>
        <v>0</v>
      </c>
      <c r="AN16" s="15">
        <f t="shared" si="5"/>
        <v>0</v>
      </c>
      <c r="AO16" s="16">
        <f t="shared" si="6"/>
        <v>0</v>
      </c>
      <c r="AP16" s="17"/>
      <c r="AQ16" s="46"/>
      <c r="AR16" s="47"/>
      <c r="AS16" s="48"/>
      <c r="AT16" s="83"/>
      <c r="AU16" s="82"/>
      <c r="AV16" s="83">
        <f t="shared" si="7"/>
        <v>0</v>
      </c>
      <c r="AW16" s="84"/>
      <c r="AX16" s="48"/>
      <c r="AY16" s="50"/>
      <c r="AZ16" s="88">
        <v>15</v>
      </c>
    </row>
    <row r="17" spans="1:52" ht="25.5" customHeight="1" x14ac:dyDescent="0.2">
      <c r="A17" s="2"/>
      <c r="B17" s="2"/>
      <c r="C17" s="2"/>
      <c r="D17" s="2"/>
      <c r="E17" s="5"/>
      <c r="F17" s="2"/>
      <c r="G17" s="2"/>
      <c r="H17" s="19"/>
      <c r="I17" s="2"/>
      <c r="J17" s="18"/>
      <c r="K17" s="18"/>
      <c r="L17" s="2"/>
      <c r="M17" s="2"/>
      <c r="N17" s="2"/>
      <c r="O17" s="19"/>
      <c r="P17" s="2"/>
      <c r="Q17" s="18"/>
      <c r="R17" s="18"/>
      <c r="S17" s="2"/>
      <c r="T17" s="2"/>
      <c r="U17" s="2"/>
      <c r="V17" s="19"/>
      <c r="W17" s="2"/>
      <c r="X17" s="18"/>
      <c r="Y17" s="18"/>
      <c r="Z17" s="2"/>
      <c r="AA17" s="2"/>
      <c r="AB17" s="2"/>
      <c r="AC17" s="19"/>
      <c r="AD17" s="2"/>
      <c r="AE17" s="18"/>
      <c r="AF17" s="18"/>
      <c r="AG17" s="2"/>
      <c r="AH17" s="2"/>
      <c r="AI17" s="11">
        <f t="shared" si="0"/>
        <v>0</v>
      </c>
      <c r="AJ17" s="12">
        <f t="shared" si="1"/>
        <v>0</v>
      </c>
      <c r="AK17" s="13">
        <f t="shared" si="2"/>
        <v>0</v>
      </c>
      <c r="AL17" s="14">
        <f t="shared" si="3"/>
        <v>0</v>
      </c>
      <c r="AM17" s="14">
        <f t="shared" si="4"/>
        <v>0</v>
      </c>
      <c r="AN17" s="15">
        <f t="shared" si="5"/>
        <v>0</v>
      </c>
      <c r="AO17" s="16">
        <f t="shared" si="6"/>
        <v>0</v>
      </c>
      <c r="AP17" s="17"/>
      <c r="AQ17" s="46"/>
      <c r="AR17" s="47"/>
      <c r="AS17" s="48"/>
      <c r="AT17" s="83"/>
      <c r="AU17" s="82"/>
      <c r="AV17" s="83">
        <f t="shared" si="7"/>
        <v>0</v>
      </c>
      <c r="AW17" s="84"/>
      <c r="AX17" s="48"/>
      <c r="AY17" s="50"/>
      <c r="AZ17" s="88">
        <v>16</v>
      </c>
    </row>
    <row r="18" spans="1:52" ht="25.5" customHeight="1" x14ac:dyDescent="0.2">
      <c r="A18" s="2"/>
      <c r="B18" s="2"/>
      <c r="C18" s="2"/>
      <c r="D18" s="2"/>
      <c r="E18" s="5"/>
      <c r="F18" s="2"/>
      <c r="G18" s="2"/>
      <c r="H18" s="19"/>
      <c r="I18" s="2"/>
      <c r="J18" s="18"/>
      <c r="K18" s="18"/>
      <c r="L18" s="2"/>
      <c r="M18" s="2"/>
      <c r="N18" s="2"/>
      <c r="O18" s="19"/>
      <c r="P18" s="2"/>
      <c r="Q18" s="18"/>
      <c r="R18" s="18"/>
      <c r="S18" s="2"/>
      <c r="T18" s="2"/>
      <c r="U18" s="2"/>
      <c r="V18" s="19"/>
      <c r="W18" s="2"/>
      <c r="X18" s="18"/>
      <c r="Y18" s="18"/>
      <c r="Z18" s="2"/>
      <c r="AA18" s="2"/>
      <c r="AB18" s="2"/>
      <c r="AC18" s="19"/>
      <c r="AD18" s="2"/>
      <c r="AE18" s="18"/>
      <c r="AF18" s="18"/>
      <c r="AG18" s="2"/>
      <c r="AH18" s="2"/>
      <c r="AI18" s="11">
        <f t="shared" si="0"/>
        <v>0</v>
      </c>
      <c r="AJ18" s="12">
        <f t="shared" si="1"/>
        <v>0</v>
      </c>
      <c r="AK18" s="13">
        <f t="shared" si="2"/>
        <v>0</v>
      </c>
      <c r="AL18" s="14">
        <f t="shared" si="3"/>
        <v>0</v>
      </c>
      <c r="AM18" s="14">
        <f t="shared" si="4"/>
        <v>0</v>
      </c>
      <c r="AN18" s="15">
        <f t="shared" si="5"/>
        <v>0</v>
      </c>
      <c r="AO18" s="16">
        <f t="shared" si="6"/>
        <v>0</v>
      </c>
      <c r="AP18" s="17"/>
      <c r="AQ18" s="47"/>
      <c r="AR18" s="47"/>
      <c r="AS18" s="48"/>
      <c r="AT18" s="83"/>
      <c r="AU18" s="82"/>
      <c r="AV18" s="83">
        <f t="shared" si="7"/>
        <v>0</v>
      </c>
      <c r="AW18" s="84"/>
      <c r="AX18" s="48"/>
      <c r="AY18" s="50"/>
      <c r="AZ18" s="88">
        <v>17</v>
      </c>
    </row>
    <row r="19" spans="1:52" ht="25.5" customHeight="1" x14ac:dyDescent="0.2">
      <c r="A19" s="2"/>
      <c r="B19" s="2"/>
      <c r="C19" s="2"/>
      <c r="D19" s="2"/>
      <c r="E19" s="5"/>
      <c r="F19" s="2"/>
      <c r="G19" s="2"/>
      <c r="H19" s="19"/>
      <c r="I19" s="2"/>
      <c r="J19" s="18"/>
      <c r="K19" s="18"/>
      <c r="L19" s="2"/>
      <c r="M19" s="2"/>
      <c r="N19" s="2"/>
      <c r="O19" s="19"/>
      <c r="P19" s="2"/>
      <c r="Q19" s="18"/>
      <c r="R19" s="18"/>
      <c r="S19" s="2"/>
      <c r="T19" s="2"/>
      <c r="U19" s="2"/>
      <c r="V19" s="19"/>
      <c r="W19" s="2"/>
      <c r="X19" s="18"/>
      <c r="Y19" s="18"/>
      <c r="Z19" s="2"/>
      <c r="AA19" s="2"/>
      <c r="AB19" s="2"/>
      <c r="AC19" s="19"/>
      <c r="AD19" s="2"/>
      <c r="AE19" s="18"/>
      <c r="AF19" s="18"/>
      <c r="AG19" s="2"/>
      <c r="AH19" s="2"/>
      <c r="AI19" s="11">
        <f t="shared" si="0"/>
        <v>0</v>
      </c>
      <c r="AJ19" s="12">
        <f t="shared" si="1"/>
        <v>0</v>
      </c>
      <c r="AK19" s="13">
        <f t="shared" si="2"/>
        <v>0</v>
      </c>
      <c r="AL19" s="14">
        <f t="shared" si="3"/>
        <v>0</v>
      </c>
      <c r="AM19" s="14">
        <f t="shared" si="4"/>
        <v>0</v>
      </c>
      <c r="AN19" s="15">
        <f t="shared" si="5"/>
        <v>0</v>
      </c>
      <c r="AO19" s="16">
        <f t="shared" si="6"/>
        <v>0</v>
      </c>
      <c r="AP19" s="17"/>
      <c r="AQ19" s="47"/>
      <c r="AR19" s="47"/>
      <c r="AS19" s="48"/>
      <c r="AT19" s="83"/>
      <c r="AU19" s="82"/>
      <c r="AV19" s="83">
        <f t="shared" si="7"/>
        <v>0</v>
      </c>
      <c r="AW19" s="84"/>
      <c r="AX19" s="48"/>
      <c r="AY19" s="50"/>
      <c r="AZ19" s="88">
        <v>18</v>
      </c>
    </row>
    <row r="20" spans="1:52" s="42" customFormat="1" ht="27.75" customHeight="1" x14ac:dyDescent="0.2">
      <c r="A20" s="2"/>
      <c r="B20" s="2"/>
      <c r="C20" s="2"/>
      <c r="D20" s="2"/>
      <c r="E20" s="5"/>
      <c r="F20" s="2"/>
      <c r="G20" s="2"/>
      <c r="H20" s="19"/>
      <c r="I20" s="2"/>
      <c r="J20" s="18"/>
      <c r="K20" s="18"/>
      <c r="L20" s="2"/>
      <c r="M20" s="2"/>
      <c r="N20" s="2"/>
      <c r="O20" s="19"/>
      <c r="P20" s="2"/>
      <c r="Q20" s="18"/>
      <c r="R20" s="18"/>
      <c r="S20" s="2"/>
      <c r="T20" s="2"/>
      <c r="U20" s="2"/>
      <c r="V20" s="19"/>
      <c r="W20" s="2"/>
      <c r="X20" s="18"/>
      <c r="Y20" s="18"/>
      <c r="Z20" s="2"/>
      <c r="AA20" s="2"/>
      <c r="AB20" s="2"/>
      <c r="AC20" s="19"/>
      <c r="AD20" s="2"/>
      <c r="AE20" s="18"/>
      <c r="AF20" s="18"/>
      <c r="AG20" s="2"/>
      <c r="AH20" s="2"/>
      <c r="AI20" s="11">
        <f t="shared" si="0"/>
        <v>0</v>
      </c>
      <c r="AJ20" s="12">
        <f t="shared" si="1"/>
        <v>0</v>
      </c>
      <c r="AK20" s="13">
        <f t="shared" si="2"/>
        <v>0</v>
      </c>
      <c r="AL20" s="14">
        <f t="shared" si="3"/>
        <v>0</v>
      </c>
      <c r="AM20" s="14">
        <f t="shared" si="4"/>
        <v>0</v>
      </c>
      <c r="AN20" s="15">
        <f t="shared" si="5"/>
        <v>0</v>
      </c>
      <c r="AO20" s="16">
        <f t="shared" si="6"/>
        <v>0</v>
      </c>
      <c r="AP20" s="17"/>
      <c r="AQ20" s="47"/>
      <c r="AR20" s="47"/>
      <c r="AS20" s="48"/>
      <c r="AT20" s="83"/>
      <c r="AU20" s="82"/>
      <c r="AV20" s="83">
        <f t="shared" si="7"/>
        <v>0</v>
      </c>
      <c r="AW20" s="84"/>
      <c r="AX20" s="48"/>
      <c r="AY20" s="50"/>
      <c r="AZ20" s="88"/>
    </row>
    <row r="21" spans="1:52" ht="27.75" customHeight="1" thickBot="1" x14ac:dyDescent="0.25">
      <c r="A21" s="2"/>
      <c r="B21" s="2"/>
      <c r="C21" s="2"/>
      <c r="D21" s="2"/>
      <c r="E21" s="5"/>
      <c r="F21" s="2"/>
      <c r="G21" s="2"/>
      <c r="H21" s="19"/>
      <c r="I21" s="2"/>
      <c r="J21" s="18"/>
      <c r="K21" s="18"/>
      <c r="L21" s="2"/>
      <c r="M21" s="2"/>
      <c r="N21" s="2"/>
      <c r="O21" s="19"/>
      <c r="P21" s="2"/>
      <c r="Q21" s="18"/>
      <c r="R21" s="18"/>
      <c r="S21" s="2"/>
      <c r="T21" s="2"/>
      <c r="U21" s="2"/>
      <c r="V21" s="19"/>
      <c r="W21" s="2"/>
      <c r="X21" s="18"/>
      <c r="Y21" s="18"/>
      <c r="Z21" s="2"/>
      <c r="AA21" s="2"/>
      <c r="AB21" s="2"/>
      <c r="AC21" s="19"/>
      <c r="AD21" s="2"/>
      <c r="AE21" s="18"/>
      <c r="AF21" s="18"/>
      <c r="AG21" s="2"/>
      <c r="AH21" s="2"/>
      <c r="AI21" s="11">
        <f t="shared" si="0"/>
        <v>0</v>
      </c>
      <c r="AJ21" s="12">
        <f t="shared" si="1"/>
        <v>0</v>
      </c>
      <c r="AK21" s="13">
        <f t="shared" si="2"/>
        <v>0</v>
      </c>
      <c r="AL21" s="14">
        <f t="shared" si="3"/>
        <v>0</v>
      </c>
      <c r="AM21" s="14">
        <f t="shared" si="4"/>
        <v>0</v>
      </c>
      <c r="AN21" s="15">
        <f t="shared" si="5"/>
        <v>0</v>
      </c>
      <c r="AO21" s="16">
        <f t="shared" si="6"/>
        <v>0</v>
      </c>
      <c r="AP21" s="17"/>
      <c r="AQ21" s="47"/>
      <c r="AR21" s="47"/>
      <c r="AS21" s="48"/>
      <c r="AT21" s="83"/>
      <c r="AU21" s="82"/>
      <c r="AV21" s="83">
        <f t="shared" si="7"/>
        <v>0</v>
      </c>
      <c r="AW21" s="84"/>
      <c r="AX21" s="48"/>
      <c r="AY21" s="50"/>
      <c r="AZ21" s="88"/>
    </row>
    <row r="22" spans="1:52" ht="18" thickBot="1" x14ac:dyDescent="0.25">
      <c r="M22" s="22" t="s">
        <v>46</v>
      </c>
      <c r="N22" s="23" t="s">
        <v>47</v>
      </c>
    </row>
    <row r="23" spans="1:52" ht="19.5" thickBot="1" x14ac:dyDescent="0.25">
      <c r="L23" s="24"/>
      <c r="M23" s="25">
        <v>1</v>
      </c>
      <c r="N23" s="25">
        <f>B2</f>
        <v>0</v>
      </c>
      <c r="AL23" s="43"/>
    </row>
    <row r="24" spans="1:52" ht="24.75" thickBot="1" x14ac:dyDescent="0.3">
      <c r="D24" s="20" t="s">
        <v>83</v>
      </c>
      <c r="L24" s="26"/>
      <c r="M24" s="16">
        <v>2</v>
      </c>
      <c r="N24" s="16">
        <f t="shared" ref="N24:N25" si="8">B3</f>
        <v>0</v>
      </c>
      <c r="P24" s="51" t="s">
        <v>35</v>
      </c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1" t="s">
        <v>35</v>
      </c>
      <c r="AE24" s="52"/>
      <c r="AF24" s="53"/>
      <c r="AP24" s="54" t="s">
        <v>50</v>
      </c>
      <c r="AQ24" s="55">
        <f t="shared" ref="AQ24:AQ33" si="9">COUNTIF(AK$2:AK$19,AP24)</f>
        <v>0</v>
      </c>
    </row>
    <row r="25" spans="1:52" ht="21.75" thickBot="1" x14ac:dyDescent="0.25">
      <c r="D25" s="89"/>
      <c r="L25" s="27"/>
      <c r="M25" s="28">
        <v>3</v>
      </c>
      <c r="N25" s="28">
        <f t="shared" si="8"/>
        <v>0</v>
      </c>
      <c r="P25" s="56" t="s">
        <v>36</v>
      </c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7"/>
      <c r="AP25" s="58" t="s">
        <v>51</v>
      </c>
      <c r="AQ25" s="59">
        <f t="shared" si="9"/>
        <v>0</v>
      </c>
    </row>
    <row r="26" spans="1:52" ht="21.75" thickBot="1" x14ac:dyDescent="0.25">
      <c r="D26" s="89"/>
      <c r="L26" s="29"/>
      <c r="M26" s="25">
        <v>16</v>
      </c>
      <c r="N26" s="25">
        <f>B17</f>
        <v>0</v>
      </c>
      <c r="P26" s="60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61" t="s">
        <v>37</v>
      </c>
      <c r="AE26" s="52"/>
      <c r="AF26" s="53"/>
      <c r="AP26" s="58" t="s">
        <v>52</v>
      </c>
      <c r="AQ26" s="59">
        <f t="shared" si="9"/>
        <v>0</v>
      </c>
    </row>
    <row r="27" spans="1:52" ht="21.75" thickBot="1" x14ac:dyDescent="0.25">
      <c r="D27" s="89"/>
      <c r="L27" s="30"/>
      <c r="M27" s="16">
        <v>17</v>
      </c>
      <c r="N27" s="16">
        <f t="shared" ref="N27:N28" si="10">B18</f>
        <v>0</v>
      </c>
      <c r="P27" s="61" t="s">
        <v>37</v>
      </c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7"/>
      <c r="AP27" s="58" t="s">
        <v>53</v>
      </c>
      <c r="AQ27" s="59">
        <f t="shared" si="9"/>
        <v>0</v>
      </c>
    </row>
    <row r="28" spans="1:52" ht="21.75" thickBot="1" x14ac:dyDescent="0.25">
      <c r="L28" s="30"/>
      <c r="M28" s="28">
        <v>18</v>
      </c>
      <c r="N28" s="28">
        <f t="shared" si="10"/>
        <v>0</v>
      </c>
      <c r="P28" s="60" t="s">
        <v>38</v>
      </c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7"/>
      <c r="AP28" s="58" t="s">
        <v>54</v>
      </c>
      <c r="AQ28" s="59">
        <f t="shared" si="9"/>
        <v>0</v>
      </c>
    </row>
    <row r="29" spans="1:52" ht="21.75" thickBot="1" x14ac:dyDescent="0.25">
      <c r="L29" s="31"/>
      <c r="M29" s="25">
        <v>4</v>
      </c>
      <c r="N29" s="25">
        <f>B5</f>
        <v>0</v>
      </c>
      <c r="P29" s="60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62"/>
      <c r="AD29" s="62"/>
      <c r="AE29" s="62"/>
      <c r="AF29" s="57"/>
      <c r="AG29" s="63"/>
      <c r="AH29" s="63"/>
      <c r="AI29" s="63"/>
      <c r="AJ29" s="63"/>
      <c r="AP29" s="64" t="s">
        <v>55</v>
      </c>
      <c r="AQ29" s="65">
        <f t="shared" si="9"/>
        <v>0</v>
      </c>
      <c r="AR29" s="21">
        <f>SUM(AQ24:AQ29)</f>
        <v>0</v>
      </c>
    </row>
    <row r="30" spans="1:52" ht="21.75" thickBot="1" x14ac:dyDescent="0.25">
      <c r="L30" s="32"/>
      <c r="M30" s="16">
        <v>5</v>
      </c>
      <c r="N30" s="16">
        <f t="shared" ref="N30:N31" si="11">B6</f>
        <v>0</v>
      </c>
      <c r="P30" s="61" t="s">
        <v>39</v>
      </c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62"/>
      <c r="AD30" s="61" t="s">
        <v>39</v>
      </c>
      <c r="AE30" s="62"/>
      <c r="AF30" s="53"/>
      <c r="AG30" s="63"/>
      <c r="AH30" s="63"/>
      <c r="AI30" s="63"/>
      <c r="AJ30" s="63"/>
      <c r="AP30" s="66" t="s">
        <v>56</v>
      </c>
      <c r="AQ30" s="67">
        <f t="shared" si="9"/>
        <v>0</v>
      </c>
    </row>
    <row r="31" spans="1:52" ht="21.75" thickBot="1" x14ac:dyDescent="0.25">
      <c r="L31" s="32"/>
      <c r="M31" s="16">
        <v>6</v>
      </c>
      <c r="N31" s="16">
        <f t="shared" si="11"/>
        <v>0</v>
      </c>
      <c r="P31" s="60" t="s">
        <v>40</v>
      </c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62"/>
      <c r="AD31" s="62"/>
      <c r="AE31" s="62"/>
      <c r="AF31" s="53"/>
      <c r="AG31" s="63"/>
      <c r="AH31" s="63"/>
      <c r="AI31" s="63"/>
      <c r="AJ31" s="63"/>
      <c r="AP31" s="58" t="s">
        <v>57</v>
      </c>
      <c r="AQ31" s="59">
        <f t="shared" si="9"/>
        <v>0</v>
      </c>
    </row>
    <row r="32" spans="1:52" ht="21.75" thickBot="1" x14ac:dyDescent="0.25">
      <c r="L32" s="32"/>
      <c r="M32" s="16">
        <v>11</v>
      </c>
      <c r="N32" s="16">
        <f>B12</f>
        <v>0</v>
      </c>
      <c r="P32" s="60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62"/>
      <c r="AD32" s="62"/>
      <c r="AE32" s="62"/>
      <c r="AF32" s="57"/>
      <c r="AG32" s="63"/>
      <c r="AH32" s="63"/>
      <c r="AI32" s="63"/>
      <c r="AJ32" s="63"/>
      <c r="AP32" s="58" t="s">
        <v>58</v>
      </c>
      <c r="AQ32" s="59">
        <f t="shared" si="9"/>
        <v>0</v>
      </c>
    </row>
    <row r="33" spans="3:51" ht="21.75" thickBot="1" x14ac:dyDescent="0.25">
      <c r="L33" s="33"/>
      <c r="M33" s="34">
        <v>12</v>
      </c>
      <c r="N33" s="34">
        <f t="shared" ref="N33:N34" si="12">B13</f>
        <v>0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7"/>
      <c r="AP33" s="68" t="s">
        <v>59</v>
      </c>
      <c r="AQ33" s="69">
        <f t="shared" si="9"/>
        <v>0</v>
      </c>
      <c r="AR33" s="21">
        <f>SUM(AQ30:AQ33)</f>
        <v>0</v>
      </c>
    </row>
    <row r="34" spans="3:51" ht="21.75" thickBot="1" x14ac:dyDescent="0.25">
      <c r="L34" s="35"/>
      <c r="M34" s="28">
        <v>13</v>
      </c>
      <c r="N34" s="28">
        <f t="shared" si="12"/>
        <v>0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7"/>
      <c r="AP34" s="70" t="s">
        <v>60</v>
      </c>
      <c r="AQ34" s="71">
        <f>SUM(AQ24:AQ33)</f>
        <v>0</v>
      </c>
    </row>
    <row r="35" spans="3:51" ht="19.5" thickBot="1" x14ac:dyDescent="0.25">
      <c r="L35" s="36"/>
      <c r="M35" s="37">
        <v>7</v>
      </c>
      <c r="N35" s="37">
        <f>B8</f>
        <v>0</v>
      </c>
      <c r="P35" s="61" t="s">
        <v>41</v>
      </c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61" t="s">
        <v>41</v>
      </c>
      <c r="AE35" s="52"/>
      <c r="AF35" s="53"/>
    </row>
    <row r="36" spans="3:51" ht="19.5" thickBot="1" x14ac:dyDescent="0.25">
      <c r="L36" s="38"/>
      <c r="M36" s="34">
        <v>8</v>
      </c>
      <c r="N36" s="34">
        <f t="shared" ref="N36:N38" si="13">B9</f>
        <v>0</v>
      </c>
      <c r="P36" s="60" t="s">
        <v>42</v>
      </c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3"/>
    </row>
    <row r="37" spans="3:51" ht="19.5" thickBot="1" x14ac:dyDescent="0.25">
      <c r="L37" s="39"/>
      <c r="M37" s="16">
        <v>9</v>
      </c>
      <c r="N37" s="16">
        <f t="shared" si="13"/>
        <v>0</v>
      </c>
      <c r="P37" s="60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7"/>
    </row>
    <row r="38" spans="3:51" ht="19.5" thickBot="1" x14ac:dyDescent="0.25">
      <c r="L38" s="40"/>
      <c r="M38" s="41">
        <v>10</v>
      </c>
      <c r="N38" s="41">
        <f t="shared" si="13"/>
        <v>0</v>
      </c>
      <c r="P38" s="61" t="s">
        <v>43</v>
      </c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7"/>
    </row>
    <row r="39" spans="3:51" ht="17.25" x14ac:dyDescent="0.15">
      <c r="P39" s="60" t="s">
        <v>44</v>
      </c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</row>
    <row r="40" spans="3:51" ht="13.5" customHeight="1" x14ac:dyDescent="0.15">
      <c r="C40" s="93" t="s">
        <v>61</v>
      </c>
      <c r="D40" s="94"/>
      <c r="E40" s="95"/>
      <c r="AU40" s="72"/>
      <c r="AY40" s="72"/>
    </row>
    <row r="41" spans="3:51" ht="14.25" customHeight="1" x14ac:dyDescent="0.15">
      <c r="C41" s="96"/>
      <c r="D41" s="97"/>
      <c r="E41" s="98"/>
      <c r="AU41" s="72"/>
      <c r="AY41" s="72"/>
    </row>
    <row r="42" spans="3:51" ht="20.25" customHeight="1" x14ac:dyDescent="0.15">
      <c r="C42" s="73"/>
      <c r="D42" s="99" t="s">
        <v>62</v>
      </c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1"/>
      <c r="P42" s="99" t="s">
        <v>63</v>
      </c>
      <c r="Q42" s="100"/>
      <c r="R42" s="100"/>
      <c r="S42" s="100"/>
      <c r="T42" s="100"/>
      <c r="U42" s="100"/>
      <c r="V42" s="100"/>
      <c r="W42" s="100"/>
      <c r="X42" s="100"/>
      <c r="Y42" s="100"/>
      <c r="Z42" s="101"/>
      <c r="AA42" s="74" t="s">
        <v>64</v>
      </c>
      <c r="AU42" s="72"/>
      <c r="AY42" s="72"/>
    </row>
    <row r="43" spans="3:51" ht="20.25" customHeight="1" x14ac:dyDescent="0.2">
      <c r="C43" s="75">
        <v>1</v>
      </c>
      <c r="D43" s="90" t="s">
        <v>65</v>
      </c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2"/>
      <c r="P43" s="90" t="s">
        <v>66</v>
      </c>
      <c r="Q43" s="91"/>
      <c r="R43" s="91"/>
      <c r="S43" s="91"/>
      <c r="T43" s="91"/>
      <c r="U43" s="91"/>
      <c r="V43" s="91"/>
      <c r="W43" s="91"/>
      <c r="X43" s="91"/>
      <c r="Y43" s="91"/>
      <c r="Z43" s="92"/>
      <c r="AA43" s="76"/>
      <c r="AU43" s="72"/>
      <c r="AY43" s="72"/>
    </row>
    <row r="44" spans="3:51" ht="20.25" customHeight="1" x14ac:dyDescent="0.2">
      <c r="C44" s="75">
        <v>2</v>
      </c>
      <c r="D44" s="90" t="s">
        <v>67</v>
      </c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2"/>
      <c r="P44" s="90" t="s">
        <v>68</v>
      </c>
      <c r="Q44" s="91"/>
      <c r="R44" s="91"/>
      <c r="S44" s="91"/>
      <c r="T44" s="91"/>
      <c r="U44" s="91"/>
      <c r="V44" s="91"/>
      <c r="W44" s="91"/>
      <c r="X44" s="91"/>
      <c r="Y44" s="91"/>
      <c r="Z44" s="92"/>
      <c r="AA44" s="76"/>
      <c r="AU44" s="72"/>
      <c r="AY44" s="72"/>
    </row>
    <row r="45" spans="3:51" ht="20.25" customHeight="1" x14ac:dyDescent="0.2">
      <c r="C45" s="75">
        <v>3</v>
      </c>
      <c r="D45" s="90" t="s">
        <v>69</v>
      </c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2"/>
      <c r="P45" s="90" t="s">
        <v>70</v>
      </c>
      <c r="Q45" s="91"/>
      <c r="R45" s="91"/>
      <c r="S45" s="91"/>
      <c r="T45" s="91"/>
      <c r="U45" s="91"/>
      <c r="V45" s="91"/>
      <c r="W45" s="91"/>
      <c r="X45" s="91"/>
      <c r="Y45" s="91"/>
      <c r="Z45" s="92"/>
      <c r="AA45" s="76"/>
      <c r="AU45" s="72"/>
      <c r="AY45" s="72"/>
    </row>
    <row r="46" spans="3:51" ht="20.25" customHeight="1" x14ac:dyDescent="0.2">
      <c r="C46" s="75">
        <v>4</v>
      </c>
      <c r="D46" s="90" t="s">
        <v>71</v>
      </c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2"/>
      <c r="P46" s="90" t="s">
        <v>72</v>
      </c>
      <c r="Q46" s="91"/>
      <c r="R46" s="91"/>
      <c r="S46" s="91"/>
      <c r="T46" s="91"/>
      <c r="U46" s="91"/>
      <c r="V46" s="91"/>
      <c r="W46" s="91"/>
      <c r="X46" s="91"/>
      <c r="Y46" s="91"/>
      <c r="Z46" s="92"/>
      <c r="AA46" s="76"/>
      <c r="AU46" s="72"/>
      <c r="AY46" s="72"/>
    </row>
    <row r="47" spans="3:51" ht="20.25" customHeight="1" x14ac:dyDescent="0.2">
      <c r="C47" s="75">
        <v>5</v>
      </c>
      <c r="D47" s="90" t="s">
        <v>73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2"/>
      <c r="P47" s="90" t="s">
        <v>74</v>
      </c>
      <c r="Q47" s="91"/>
      <c r="R47" s="91"/>
      <c r="S47" s="91"/>
      <c r="T47" s="91"/>
      <c r="U47" s="91"/>
      <c r="V47" s="91"/>
      <c r="W47" s="91"/>
      <c r="X47" s="91"/>
      <c r="Y47" s="91"/>
      <c r="Z47" s="92"/>
      <c r="AA47" s="76"/>
      <c r="AU47" s="72"/>
      <c r="AY47" s="72"/>
    </row>
    <row r="48" spans="3:51" ht="20.25" customHeight="1" x14ac:dyDescent="0.2">
      <c r="C48" s="75">
        <v>6</v>
      </c>
      <c r="D48" s="90" t="s">
        <v>75</v>
      </c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2"/>
      <c r="P48" s="90" t="s">
        <v>76</v>
      </c>
      <c r="Q48" s="91"/>
      <c r="R48" s="91"/>
      <c r="S48" s="91"/>
      <c r="T48" s="91"/>
      <c r="U48" s="91"/>
      <c r="V48" s="91"/>
      <c r="W48" s="91"/>
      <c r="X48" s="91"/>
      <c r="Y48" s="91"/>
      <c r="Z48" s="92"/>
      <c r="AA48" s="76"/>
      <c r="AU48" s="72"/>
      <c r="AY48" s="72"/>
    </row>
    <row r="49" spans="3:51" ht="20.25" customHeight="1" x14ac:dyDescent="0.2">
      <c r="C49" s="75">
        <v>7</v>
      </c>
      <c r="D49" s="90" t="s">
        <v>77</v>
      </c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2"/>
      <c r="P49" s="90" t="s">
        <v>78</v>
      </c>
      <c r="Q49" s="91"/>
      <c r="R49" s="91"/>
      <c r="S49" s="91"/>
      <c r="T49" s="91"/>
      <c r="U49" s="91"/>
      <c r="V49" s="91"/>
      <c r="W49" s="91"/>
      <c r="X49" s="91"/>
      <c r="Y49" s="91"/>
      <c r="Z49" s="92"/>
      <c r="AA49" s="76"/>
      <c r="AU49" s="72"/>
      <c r="AY49" s="72"/>
    </row>
    <row r="50" spans="3:51" ht="20.25" customHeight="1" x14ac:dyDescent="0.2">
      <c r="C50" s="75">
        <v>8</v>
      </c>
      <c r="D50" s="90" t="s">
        <v>79</v>
      </c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2"/>
      <c r="P50" s="90" t="s">
        <v>80</v>
      </c>
      <c r="Q50" s="91"/>
      <c r="R50" s="91"/>
      <c r="S50" s="91"/>
      <c r="T50" s="91"/>
      <c r="U50" s="91"/>
      <c r="V50" s="91"/>
      <c r="W50" s="91"/>
      <c r="X50" s="91"/>
      <c r="Y50" s="91"/>
      <c r="Z50" s="92"/>
      <c r="AA50" s="76"/>
      <c r="AU50" s="72"/>
      <c r="AY50" s="72"/>
    </row>
  </sheetData>
  <autoFilter ref="A1:AP1" xr:uid="{00000000-0001-0000-0300-000000000000}"/>
  <mergeCells count="19">
    <mergeCell ref="D48:O48"/>
    <mergeCell ref="P48:Z48"/>
    <mergeCell ref="D49:O49"/>
    <mergeCell ref="P49:Z49"/>
    <mergeCell ref="D50:O50"/>
    <mergeCell ref="P50:Z50"/>
    <mergeCell ref="D45:O45"/>
    <mergeCell ref="P45:Z45"/>
    <mergeCell ref="D46:O46"/>
    <mergeCell ref="P46:Z46"/>
    <mergeCell ref="D47:O47"/>
    <mergeCell ref="P47:Z47"/>
    <mergeCell ref="D44:O44"/>
    <mergeCell ref="P44:Z44"/>
    <mergeCell ref="C40:E41"/>
    <mergeCell ref="D42:O42"/>
    <mergeCell ref="P42:Z42"/>
    <mergeCell ref="D43:O43"/>
    <mergeCell ref="P43:Z43"/>
  </mergeCells>
  <phoneticPr fontId="2"/>
  <conditionalFormatting sqref="E2:E21">
    <cfRule type="containsText" dxfId="74" priority="23" operator="containsText" text="牝">
      <formula>NOT(ISERROR(SEARCH("牝",E2)))</formula>
    </cfRule>
    <cfRule type="containsText" dxfId="73" priority="22" operator="containsText" text="セ">
      <formula>NOT(ISERROR(SEARCH("セ",E2)))</formula>
    </cfRule>
    <cfRule type="containsText" dxfId="72" priority="21" operator="containsText" text="せん">
      <formula>NOT(ISERROR(SEARCH("せん",E2)))</formula>
    </cfRule>
  </conditionalFormatting>
  <conditionalFormatting sqref="H2:H21 O2:O21 V2:V21 AC2:AC21">
    <cfRule type="containsText" dxfId="71" priority="17" operator="containsText" text="中山">
      <formula>NOT(ISERROR(SEARCH("中山",H2)))</formula>
    </cfRule>
  </conditionalFormatting>
  <conditionalFormatting sqref="J2:J21 Q2:Q21 X2:X21 AE2:AE21">
    <cfRule type="cellIs" dxfId="70" priority="14" operator="between">
      <formula>3</formula>
      <formula>4</formula>
    </cfRule>
    <cfRule type="cellIs" dxfId="69" priority="15" operator="equal">
      <formula>2</formula>
    </cfRule>
    <cfRule type="cellIs" dxfId="68" priority="16" operator="equal">
      <formula>1</formula>
    </cfRule>
  </conditionalFormatting>
  <conditionalFormatting sqref="K2:K21 R2:R21 Y2:Y21 AF2:AF21">
    <cfRule type="cellIs" dxfId="67" priority="13" operator="lessThanOrEqual">
      <formula>0.6</formula>
    </cfRule>
  </conditionalFormatting>
  <conditionalFormatting sqref="AI2:AI21">
    <cfRule type="top10" dxfId="66" priority="12" bottom="1" rank="4"/>
  </conditionalFormatting>
  <conditionalFormatting sqref="AJ2:AJ21">
    <cfRule type="top10" dxfId="65" priority="24" bottom="1" rank="4"/>
  </conditionalFormatting>
  <conditionalFormatting sqref="AK2:AK21">
    <cfRule type="top10" dxfId="64" priority="25" rank="4"/>
  </conditionalFormatting>
  <conditionalFormatting sqref="AL23">
    <cfRule type="containsText" dxfId="63" priority="37" operator="containsText" text="先行差し">
      <formula>NOT(ISERROR(SEARCH("先行差し",AL23)))</formula>
    </cfRule>
    <cfRule type="containsText" dxfId="62" priority="36" operator="containsText" text="逃げ">
      <formula>NOT(ISERROR(SEARCH("逃げ",AL23)))</formula>
    </cfRule>
    <cfRule type="containsText" dxfId="61" priority="35" operator="containsText" text="先行">
      <formula>NOT(ISERROR(SEARCH("先行",AL23)))</formula>
    </cfRule>
  </conditionalFormatting>
  <conditionalFormatting sqref="AL2:AN21">
    <cfRule type="top10" dxfId="60" priority="26" rank="4"/>
  </conditionalFormatting>
  <conditionalFormatting sqref="AO2:AO21">
    <cfRule type="top10" dxfId="59" priority="27" rank="4"/>
  </conditionalFormatting>
  <conditionalFormatting sqref="AP2:AP21">
    <cfRule type="containsText" dxfId="58" priority="20" operator="containsText" text="先行差し">
      <formula>NOT(ISERROR(SEARCH("先行差し",AP2)))</formula>
    </cfRule>
    <cfRule type="containsText" dxfId="57" priority="18" operator="containsText" text="先行">
      <formula>NOT(ISERROR(SEARCH("先行",AP2)))</formula>
    </cfRule>
    <cfRule type="containsText" dxfId="56" priority="19" operator="containsText" text="逃げ">
      <formula>NOT(ISERROR(SEARCH("逃げ",AP2)))</formula>
    </cfRule>
  </conditionalFormatting>
  <conditionalFormatting sqref="AQ2:AQ9">
    <cfRule type="containsText" dxfId="55" priority="29" operator="containsText" text="先行">
      <formula>NOT(ISERROR(SEARCH("先行",AQ2)))</formula>
    </cfRule>
    <cfRule type="containsText" dxfId="54" priority="30" operator="containsText" text="逃げ">
      <formula>NOT(ISERROR(SEARCH("逃げ",AQ2)))</formula>
    </cfRule>
    <cfRule type="containsText" dxfId="53" priority="31" operator="containsText" text="先行差し">
      <formula>NOT(ISERROR(SEARCH("先行差し",AQ2)))</formula>
    </cfRule>
  </conditionalFormatting>
  <conditionalFormatting sqref="AQ2:AQ21">
    <cfRule type="top10" dxfId="52" priority="28" bottom="1" rank="4"/>
  </conditionalFormatting>
  <conditionalFormatting sqref="AR2:AR21">
    <cfRule type="top10" dxfId="51" priority="10" bottom="1" rank="4"/>
  </conditionalFormatting>
  <conditionalFormatting sqref="AS2:AS21">
    <cfRule type="containsText" dxfId="50" priority="8" operator="containsText" text="先行差し">
      <formula>NOT(ISERROR(SEARCH("先行差し",AS2)))</formula>
    </cfRule>
    <cfRule type="containsText" dxfId="49" priority="7" operator="containsText" text="逃げ">
      <formula>NOT(ISERROR(SEARCH("逃げ",AS2)))</formula>
    </cfRule>
    <cfRule type="containsText" dxfId="48" priority="6" operator="containsText" text="先行">
      <formula>NOT(ISERROR(SEARCH("先行",AS2)))</formula>
    </cfRule>
  </conditionalFormatting>
  <conditionalFormatting sqref="AT2:AT21">
    <cfRule type="cellIs" dxfId="47" priority="11" operator="greaterThanOrEqual">
      <formula>0.6</formula>
    </cfRule>
  </conditionalFormatting>
  <conditionalFormatting sqref="AU2:AU21">
    <cfRule type="top10" dxfId="46" priority="9" bottom="1" rank="4"/>
  </conditionalFormatting>
  <conditionalFormatting sqref="AV2:AV21">
    <cfRule type="top10" dxfId="45" priority="2" bottom="1" rank="4"/>
  </conditionalFormatting>
  <conditionalFormatting sqref="AV2:AX21">
    <cfRule type="containsText" dxfId="44" priority="5" operator="containsText" text="先行差し">
      <formula>NOT(ISERROR(SEARCH("先行差し",AV2)))</formula>
    </cfRule>
    <cfRule type="containsText" dxfId="43" priority="4" operator="containsText" text="逃げ">
      <formula>NOT(ISERROR(SEARCH("逃げ",AV2)))</formula>
    </cfRule>
    <cfRule type="containsText" dxfId="42" priority="3" operator="containsText" text="先行">
      <formula>NOT(ISERROR(SEARCH("先行",AV2)))</formula>
    </cfRule>
  </conditionalFormatting>
  <conditionalFormatting sqref="AX2:AX12">
    <cfRule type="containsText" dxfId="41" priority="1" operator="containsText" text="B">
      <formula>NOT(ISERROR(SEARCH("B",AX2)))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50"/>
  <sheetViews>
    <sheetView tabSelected="1" zoomScale="55" zoomScaleNormal="5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25" sqref="D25:D27"/>
    </sheetView>
  </sheetViews>
  <sheetFormatPr defaultRowHeight="13.5" x14ac:dyDescent="0.15"/>
  <cols>
    <col min="1" max="3" width="5.5" customWidth="1"/>
    <col min="4" max="4" width="17.125" customWidth="1"/>
    <col min="5" max="5" width="7.875" customWidth="1"/>
    <col min="6" max="6" width="7.75" customWidth="1"/>
    <col min="9" max="9" width="10.375" customWidth="1"/>
    <col min="10" max="11" width="5.375" customWidth="1"/>
    <col min="13" max="13" width="6.125" customWidth="1"/>
    <col min="16" max="16" width="10.25" customWidth="1"/>
    <col min="17" max="18" width="5.875" customWidth="1"/>
    <col min="20" max="20" width="6.875" customWidth="1"/>
    <col min="22" max="22" width="8" customWidth="1"/>
    <col min="23" max="23" width="9.5" customWidth="1"/>
    <col min="24" max="24" width="5" customWidth="1"/>
    <col min="25" max="25" width="5.625" customWidth="1"/>
    <col min="27" max="27" width="5.625" customWidth="1"/>
    <col min="30" max="30" width="9.875" customWidth="1"/>
    <col min="31" max="32" width="4.625" customWidth="1"/>
    <col min="34" max="34" width="5.375" customWidth="1"/>
    <col min="35" max="35" width="8" customWidth="1"/>
    <col min="36" max="36" width="6.125" customWidth="1"/>
    <col min="37" max="40" width="4" customWidth="1"/>
    <col min="42" max="42" width="11.625" customWidth="1"/>
  </cols>
  <sheetData>
    <row r="1" spans="1:52" ht="19.5" thickBot="1" x14ac:dyDescent="0.2">
      <c r="A1" s="3" t="s">
        <v>85</v>
      </c>
      <c r="B1" s="4" t="s">
        <v>0</v>
      </c>
      <c r="C1" s="4" t="s">
        <v>32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6" t="s">
        <v>33</v>
      </c>
      <c r="AJ1" s="7" t="s">
        <v>34</v>
      </c>
      <c r="AK1" s="6" t="s">
        <v>86</v>
      </c>
      <c r="AL1" s="8" t="s">
        <v>87</v>
      </c>
      <c r="AM1" s="8" t="s">
        <v>88</v>
      </c>
      <c r="AN1" s="7" t="s">
        <v>89</v>
      </c>
      <c r="AO1" s="9" t="s">
        <v>90</v>
      </c>
      <c r="AP1" s="10" t="s">
        <v>91</v>
      </c>
      <c r="AQ1" s="10" t="s">
        <v>48</v>
      </c>
      <c r="AR1" s="77" t="s">
        <v>92</v>
      </c>
      <c r="AS1" s="44" t="s">
        <v>93</v>
      </c>
      <c r="AT1" s="78" t="s">
        <v>94</v>
      </c>
      <c r="AU1" s="79" t="s">
        <v>95</v>
      </c>
      <c r="AV1" s="78" t="s">
        <v>34</v>
      </c>
      <c r="AW1" s="80" t="s">
        <v>96</v>
      </c>
      <c r="AX1" s="79"/>
      <c r="AY1" s="45" t="s">
        <v>49</v>
      </c>
      <c r="AZ1" s="87"/>
    </row>
    <row r="2" spans="1:52" ht="26.25" customHeight="1" x14ac:dyDescent="0.2">
      <c r="A2" s="2"/>
      <c r="B2" s="2"/>
      <c r="C2" s="2"/>
      <c r="D2" s="2"/>
      <c r="E2" s="5"/>
      <c r="F2" s="2"/>
      <c r="G2" s="2"/>
      <c r="H2" s="19"/>
      <c r="I2" s="2"/>
      <c r="J2" s="18"/>
      <c r="K2" s="18"/>
      <c r="L2" s="2"/>
      <c r="M2" s="2"/>
      <c r="N2" s="2"/>
      <c r="O2" s="19"/>
      <c r="P2" s="2"/>
      <c r="Q2" s="18"/>
      <c r="R2" s="18"/>
      <c r="S2" s="2"/>
      <c r="T2" s="2"/>
      <c r="U2" s="2"/>
      <c r="V2" s="19"/>
      <c r="W2" s="2"/>
      <c r="X2" s="18"/>
      <c r="Y2" s="18"/>
      <c r="Z2" s="2"/>
      <c r="AA2" s="2"/>
      <c r="AB2" s="2"/>
      <c r="AC2" s="19"/>
      <c r="AD2" s="2"/>
      <c r="AE2" s="18"/>
      <c r="AF2" s="18"/>
      <c r="AG2" s="2"/>
      <c r="AH2" s="2"/>
      <c r="AI2" s="11">
        <f t="shared" ref="AI2:AI21" si="0">MIN(AH2,AA2,T2,M2)</f>
        <v>0</v>
      </c>
      <c r="AJ2" s="12">
        <f t="shared" ref="AJ2:AJ21" si="1">SUM(K2,R2,Y2,AF2)</f>
        <v>0</v>
      </c>
      <c r="AK2" s="13">
        <f t="shared" ref="AK2:AK21" si="2">COUNTIF(AE2,1)+COUNTIF(X2,1)+COUNTIF(Q2,1)+COUNTIF(J2,1)</f>
        <v>0</v>
      </c>
      <c r="AL2" s="14">
        <f t="shared" ref="AL2:AL21" si="3">COUNTIF(AE2,2)+COUNTIF(X2,2)+COUNTIF(Q2,2)+COUNTIF(J2,2)</f>
        <v>0</v>
      </c>
      <c r="AM2" s="14">
        <f t="shared" ref="AM2:AM21" si="4">COUNTIF(AE2,3)+COUNTIF(X2,3)+COUNTIF(Q2,3)+COUNTIF(J2,3)</f>
        <v>0</v>
      </c>
      <c r="AN2" s="15">
        <f t="shared" ref="AN2:AN21" si="5">COUNTIF(AE2,4)+COUNTIF(X2,4)+COUNTIF(Q2,4)+COUNTIF(J2,4)</f>
        <v>0</v>
      </c>
      <c r="AO2" s="16">
        <f t="shared" ref="AO2:AO21" si="6">SUM(AK2:AN2)</f>
        <v>0</v>
      </c>
      <c r="AP2" s="17"/>
      <c r="AQ2" s="46"/>
      <c r="AR2" s="47"/>
      <c r="AS2" s="48"/>
      <c r="AT2" s="81"/>
      <c r="AU2" s="82"/>
      <c r="AV2" s="83">
        <f t="shared" ref="AV2:AV21" si="7">SUM(J2,Q2,X2,AE2)</f>
        <v>0</v>
      </c>
      <c r="AW2" s="84"/>
      <c r="AX2" s="85"/>
      <c r="AY2" s="49"/>
      <c r="AZ2" s="88">
        <v>1</v>
      </c>
    </row>
    <row r="3" spans="1:52" ht="26.25" customHeight="1" x14ac:dyDescent="0.2">
      <c r="A3" s="2"/>
      <c r="B3" s="2"/>
      <c r="C3" s="2"/>
      <c r="D3" s="2"/>
      <c r="E3" s="5"/>
      <c r="F3" s="2"/>
      <c r="G3" s="2"/>
      <c r="H3" s="19"/>
      <c r="I3" s="2"/>
      <c r="J3" s="18"/>
      <c r="K3" s="18"/>
      <c r="L3" s="2"/>
      <c r="M3" s="2"/>
      <c r="N3" s="2"/>
      <c r="O3" s="19"/>
      <c r="P3" s="2"/>
      <c r="Q3" s="18"/>
      <c r="R3" s="18"/>
      <c r="S3" s="2"/>
      <c r="T3" s="2"/>
      <c r="U3" s="2"/>
      <c r="V3" s="19"/>
      <c r="W3" s="2"/>
      <c r="X3" s="18"/>
      <c r="Y3" s="18"/>
      <c r="Z3" s="2"/>
      <c r="AA3" s="2"/>
      <c r="AB3" s="2"/>
      <c r="AC3" s="19"/>
      <c r="AD3" s="2"/>
      <c r="AE3" s="18"/>
      <c r="AF3" s="18"/>
      <c r="AG3" s="2"/>
      <c r="AH3" s="2"/>
      <c r="AI3" s="11">
        <f t="shared" si="0"/>
        <v>0</v>
      </c>
      <c r="AJ3" s="12">
        <f t="shared" si="1"/>
        <v>0</v>
      </c>
      <c r="AK3" s="13">
        <f t="shared" si="2"/>
        <v>0</v>
      </c>
      <c r="AL3" s="14">
        <f t="shared" si="3"/>
        <v>0</v>
      </c>
      <c r="AM3" s="14">
        <f t="shared" si="4"/>
        <v>0</v>
      </c>
      <c r="AN3" s="15">
        <f t="shared" si="5"/>
        <v>0</v>
      </c>
      <c r="AO3" s="16">
        <f t="shared" si="6"/>
        <v>0</v>
      </c>
      <c r="AP3" s="17"/>
      <c r="AQ3" s="46"/>
      <c r="AR3" s="47"/>
      <c r="AS3" s="48"/>
      <c r="AT3" s="83"/>
      <c r="AU3" s="82"/>
      <c r="AV3" s="83">
        <f t="shared" si="7"/>
        <v>0</v>
      </c>
      <c r="AW3" s="84"/>
      <c r="AX3" s="85"/>
      <c r="AY3" s="50"/>
      <c r="AZ3" s="88">
        <v>2</v>
      </c>
    </row>
    <row r="4" spans="1:52" ht="26.25" customHeight="1" x14ac:dyDescent="0.2">
      <c r="A4" s="2"/>
      <c r="B4" s="2"/>
      <c r="C4" s="2"/>
      <c r="D4" s="2"/>
      <c r="E4" s="5"/>
      <c r="F4" s="2"/>
      <c r="G4" s="2"/>
      <c r="H4" s="19"/>
      <c r="I4" s="2"/>
      <c r="J4" s="18"/>
      <c r="K4" s="18"/>
      <c r="L4" s="2"/>
      <c r="M4" s="2"/>
      <c r="N4" s="2"/>
      <c r="O4" s="19"/>
      <c r="P4" s="2"/>
      <c r="Q4" s="18"/>
      <c r="R4" s="18"/>
      <c r="S4" s="2"/>
      <c r="T4" s="2"/>
      <c r="U4" s="2"/>
      <c r="V4" s="19"/>
      <c r="W4" s="2"/>
      <c r="X4" s="18"/>
      <c r="Y4" s="18"/>
      <c r="Z4" s="2"/>
      <c r="AA4" s="2"/>
      <c r="AB4" s="2"/>
      <c r="AC4" s="19"/>
      <c r="AD4" s="2"/>
      <c r="AE4" s="18"/>
      <c r="AF4" s="18"/>
      <c r="AG4" s="2"/>
      <c r="AH4" s="2"/>
      <c r="AI4" s="11">
        <f t="shared" si="0"/>
        <v>0</v>
      </c>
      <c r="AJ4" s="12">
        <f t="shared" si="1"/>
        <v>0</v>
      </c>
      <c r="AK4" s="13">
        <f t="shared" si="2"/>
        <v>0</v>
      </c>
      <c r="AL4" s="14">
        <f t="shared" si="3"/>
        <v>0</v>
      </c>
      <c r="AM4" s="14">
        <f t="shared" si="4"/>
        <v>0</v>
      </c>
      <c r="AN4" s="15">
        <f t="shared" si="5"/>
        <v>0</v>
      </c>
      <c r="AO4" s="16">
        <f t="shared" si="6"/>
        <v>0</v>
      </c>
      <c r="AP4" s="17"/>
      <c r="AQ4" s="47"/>
      <c r="AR4" s="47"/>
      <c r="AS4" s="48"/>
      <c r="AT4" s="86"/>
      <c r="AU4" s="82"/>
      <c r="AV4" s="83">
        <f t="shared" si="7"/>
        <v>0</v>
      </c>
      <c r="AW4" s="84"/>
      <c r="AX4" s="85"/>
      <c r="AY4" s="50"/>
      <c r="AZ4" s="88">
        <v>3</v>
      </c>
    </row>
    <row r="5" spans="1:52" ht="26.25" customHeight="1" x14ac:dyDescent="0.2">
      <c r="A5" s="2"/>
      <c r="B5" s="2"/>
      <c r="C5" s="2"/>
      <c r="D5" s="2"/>
      <c r="E5" s="5"/>
      <c r="F5" s="2"/>
      <c r="G5" s="2"/>
      <c r="H5" s="19"/>
      <c r="I5" s="2"/>
      <c r="J5" s="18"/>
      <c r="K5" s="18"/>
      <c r="L5" s="2"/>
      <c r="M5" s="2"/>
      <c r="N5" s="2"/>
      <c r="O5" s="19"/>
      <c r="P5" s="2"/>
      <c r="Q5" s="18"/>
      <c r="R5" s="18"/>
      <c r="S5" s="2"/>
      <c r="T5" s="2"/>
      <c r="U5" s="2"/>
      <c r="V5" s="19"/>
      <c r="W5" s="2"/>
      <c r="X5" s="18"/>
      <c r="Y5" s="18"/>
      <c r="Z5" s="2"/>
      <c r="AA5" s="2"/>
      <c r="AB5" s="2"/>
      <c r="AC5" s="19"/>
      <c r="AD5" s="2"/>
      <c r="AE5" s="18"/>
      <c r="AF5" s="18"/>
      <c r="AG5" s="2"/>
      <c r="AH5" s="2"/>
      <c r="AI5" s="11">
        <f t="shared" si="0"/>
        <v>0</v>
      </c>
      <c r="AJ5" s="12">
        <f t="shared" si="1"/>
        <v>0</v>
      </c>
      <c r="AK5" s="13">
        <f t="shared" si="2"/>
        <v>0</v>
      </c>
      <c r="AL5" s="14">
        <f t="shared" si="3"/>
        <v>0</v>
      </c>
      <c r="AM5" s="14">
        <f t="shared" si="4"/>
        <v>0</v>
      </c>
      <c r="AN5" s="15">
        <f t="shared" si="5"/>
        <v>0</v>
      </c>
      <c r="AO5" s="16">
        <f t="shared" si="6"/>
        <v>0</v>
      </c>
      <c r="AP5" s="17"/>
      <c r="AQ5" s="46"/>
      <c r="AR5" s="47"/>
      <c r="AS5" s="48"/>
      <c r="AT5" s="86"/>
      <c r="AU5" s="82"/>
      <c r="AV5" s="83">
        <f t="shared" si="7"/>
        <v>0</v>
      </c>
      <c r="AW5" s="84"/>
      <c r="AX5" s="85"/>
      <c r="AY5" s="50"/>
      <c r="AZ5" s="88">
        <v>4</v>
      </c>
    </row>
    <row r="6" spans="1:52" ht="26.25" customHeight="1" x14ac:dyDescent="0.2">
      <c r="A6" s="2"/>
      <c r="B6" s="2"/>
      <c r="C6" s="2"/>
      <c r="D6" s="2"/>
      <c r="E6" s="5"/>
      <c r="F6" s="2"/>
      <c r="G6" s="2"/>
      <c r="H6" s="19"/>
      <c r="I6" s="2"/>
      <c r="J6" s="18"/>
      <c r="K6" s="18"/>
      <c r="L6" s="2"/>
      <c r="M6" s="2"/>
      <c r="N6" s="2"/>
      <c r="O6" s="19"/>
      <c r="P6" s="2"/>
      <c r="Q6" s="18"/>
      <c r="R6" s="18"/>
      <c r="S6" s="2"/>
      <c r="T6" s="2"/>
      <c r="U6" s="2"/>
      <c r="V6" s="19"/>
      <c r="W6" s="2"/>
      <c r="X6" s="18"/>
      <c r="Y6" s="18"/>
      <c r="Z6" s="2"/>
      <c r="AA6" s="2"/>
      <c r="AB6" s="2"/>
      <c r="AC6" s="19"/>
      <c r="AD6" s="2"/>
      <c r="AE6" s="18"/>
      <c r="AF6" s="18"/>
      <c r="AG6" s="2"/>
      <c r="AH6" s="2"/>
      <c r="AI6" s="11">
        <f t="shared" si="0"/>
        <v>0</v>
      </c>
      <c r="AJ6" s="12">
        <f t="shared" si="1"/>
        <v>0</v>
      </c>
      <c r="AK6" s="13">
        <f t="shared" si="2"/>
        <v>0</v>
      </c>
      <c r="AL6" s="14">
        <f t="shared" si="3"/>
        <v>0</v>
      </c>
      <c r="AM6" s="14">
        <f t="shared" si="4"/>
        <v>0</v>
      </c>
      <c r="AN6" s="15">
        <f t="shared" si="5"/>
        <v>0</v>
      </c>
      <c r="AO6" s="16">
        <f t="shared" si="6"/>
        <v>0</v>
      </c>
      <c r="AP6" s="17"/>
      <c r="AQ6" s="46"/>
      <c r="AR6" s="47"/>
      <c r="AS6" s="48"/>
      <c r="AT6" s="83"/>
      <c r="AU6" s="82"/>
      <c r="AV6" s="83">
        <f t="shared" si="7"/>
        <v>0</v>
      </c>
      <c r="AW6" s="84"/>
      <c r="AX6" s="85"/>
      <c r="AY6" s="50"/>
      <c r="AZ6" s="88">
        <v>5</v>
      </c>
    </row>
    <row r="7" spans="1:52" ht="26.25" customHeight="1" x14ac:dyDescent="0.2">
      <c r="A7" s="2"/>
      <c r="B7" s="2"/>
      <c r="C7" s="2"/>
      <c r="D7" s="2"/>
      <c r="E7" s="5"/>
      <c r="F7" s="2"/>
      <c r="G7" s="2"/>
      <c r="H7" s="19"/>
      <c r="I7" s="2"/>
      <c r="J7" s="18"/>
      <c r="K7" s="18"/>
      <c r="L7" s="2"/>
      <c r="M7" s="2"/>
      <c r="N7" s="2"/>
      <c r="O7" s="19"/>
      <c r="P7" s="2"/>
      <c r="Q7" s="18"/>
      <c r="R7" s="18"/>
      <c r="S7" s="2"/>
      <c r="T7" s="2"/>
      <c r="U7" s="2"/>
      <c r="V7" s="19"/>
      <c r="W7" s="2"/>
      <c r="X7" s="18"/>
      <c r="Y7" s="18"/>
      <c r="Z7" s="2"/>
      <c r="AA7" s="2"/>
      <c r="AB7" s="2"/>
      <c r="AC7" s="19"/>
      <c r="AD7" s="2"/>
      <c r="AE7" s="18"/>
      <c r="AF7" s="18"/>
      <c r="AG7" s="2"/>
      <c r="AH7" s="2"/>
      <c r="AI7" s="11">
        <f t="shared" si="0"/>
        <v>0</v>
      </c>
      <c r="AJ7" s="12">
        <f t="shared" si="1"/>
        <v>0</v>
      </c>
      <c r="AK7" s="13">
        <f t="shared" si="2"/>
        <v>0</v>
      </c>
      <c r="AL7" s="14">
        <f t="shared" si="3"/>
        <v>0</v>
      </c>
      <c r="AM7" s="14">
        <f t="shared" si="4"/>
        <v>0</v>
      </c>
      <c r="AN7" s="15">
        <f t="shared" si="5"/>
        <v>0</v>
      </c>
      <c r="AO7" s="16">
        <f t="shared" si="6"/>
        <v>0</v>
      </c>
      <c r="AP7" s="17"/>
      <c r="AQ7" s="46"/>
      <c r="AR7" s="47"/>
      <c r="AS7" s="48"/>
      <c r="AT7" s="83"/>
      <c r="AU7" s="82"/>
      <c r="AV7" s="83">
        <f t="shared" si="7"/>
        <v>0</v>
      </c>
      <c r="AW7" s="84"/>
      <c r="AX7" s="85"/>
      <c r="AY7" s="50"/>
      <c r="AZ7" s="88">
        <v>6</v>
      </c>
    </row>
    <row r="8" spans="1:52" ht="26.25" customHeight="1" x14ac:dyDescent="0.2">
      <c r="A8" s="2"/>
      <c r="B8" s="2"/>
      <c r="C8" s="2"/>
      <c r="D8" s="2"/>
      <c r="E8" s="5"/>
      <c r="F8" s="2"/>
      <c r="G8" s="2"/>
      <c r="H8" s="19"/>
      <c r="I8" s="2"/>
      <c r="J8" s="18"/>
      <c r="K8" s="18"/>
      <c r="L8" s="2"/>
      <c r="M8" s="2"/>
      <c r="N8" s="2"/>
      <c r="O8" s="19"/>
      <c r="P8" s="2"/>
      <c r="Q8" s="18"/>
      <c r="R8" s="18"/>
      <c r="S8" s="2"/>
      <c r="T8" s="2"/>
      <c r="U8" s="2"/>
      <c r="V8" s="19"/>
      <c r="W8" s="2"/>
      <c r="X8" s="18"/>
      <c r="Y8" s="18"/>
      <c r="Z8" s="2"/>
      <c r="AA8" s="2"/>
      <c r="AB8" s="2"/>
      <c r="AC8" s="19"/>
      <c r="AD8" s="2"/>
      <c r="AE8" s="18"/>
      <c r="AF8" s="18"/>
      <c r="AG8" s="2"/>
      <c r="AH8" s="2"/>
      <c r="AI8" s="11">
        <f t="shared" si="0"/>
        <v>0</v>
      </c>
      <c r="AJ8" s="12">
        <f t="shared" si="1"/>
        <v>0</v>
      </c>
      <c r="AK8" s="13">
        <f t="shared" si="2"/>
        <v>0</v>
      </c>
      <c r="AL8" s="14">
        <f t="shared" si="3"/>
        <v>0</v>
      </c>
      <c r="AM8" s="14">
        <f t="shared" si="4"/>
        <v>0</v>
      </c>
      <c r="AN8" s="15">
        <f t="shared" si="5"/>
        <v>0</v>
      </c>
      <c r="AO8" s="16">
        <f t="shared" si="6"/>
        <v>0</v>
      </c>
      <c r="AP8" s="17"/>
      <c r="AQ8" s="47"/>
      <c r="AR8" s="47"/>
      <c r="AS8" s="48"/>
      <c r="AT8" s="86"/>
      <c r="AU8" s="82"/>
      <c r="AV8" s="83">
        <f t="shared" si="7"/>
        <v>0</v>
      </c>
      <c r="AW8" s="84"/>
      <c r="AX8" s="85"/>
      <c r="AY8" s="50"/>
      <c r="AZ8" s="88">
        <v>7</v>
      </c>
    </row>
    <row r="9" spans="1:52" ht="26.25" customHeight="1" x14ac:dyDescent="0.2">
      <c r="A9" s="2"/>
      <c r="B9" s="2"/>
      <c r="C9" s="2"/>
      <c r="D9" s="2"/>
      <c r="E9" s="5"/>
      <c r="F9" s="2"/>
      <c r="G9" s="2"/>
      <c r="H9" s="19"/>
      <c r="I9" s="2"/>
      <c r="J9" s="18"/>
      <c r="K9" s="18"/>
      <c r="L9" s="2"/>
      <c r="M9" s="2"/>
      <c r="N9" s="2"/>
      <c r="O9" s="19"/>
      <c r="P9" s="2"/>
      <c r="Q9" s="18"/>
      <c r="R9" s="18"/>
      <c r="S9" s="2"/>
      <c r="T9" s="2"/>
      <c r="U9" s="2"/>
      <c r="V9" s="19"/>
      <c r="W9" s="2"/>
      <c r="X9" s="18"/>
      <c r="Y9" s="18"/>
      <c r="Z9" s="2"/>
      <c r="AA9" s="2"/>
      <c r="AB9" s="2"/>
      <c r="AC9" s="19"/>
      <c r="AD9" s="2"/>
      <c r="AE9" s="18"/>
      <c r="AF9" s="18"/>
      <c r="AG9" s="2"/>
      <c r="AH9" s="2"/>
      <c r="AI9" s="11">
        <f t="shared" si="0"/>
        <v>0</v>
      </c>
      <c r="AJ9" s="12">
        <f t="shared" si="1"/>
        <v>0</v>
      </c>
      <c r="AK9" s="13">
        <f t="shared" si="2"/>
        <v>0</v>
      </c>
      <c r="AL9" s="14">
        <f t="shared" si="3"/>
        <v>0</v>
      </c>
      <c r="AM9" s="14">
        <f t="shared" si="4"/>
        <v>0</v>
      </c>
      <c r="AN9" s="15">
        <f t="shared" si="5"/>
        <v>0</v>
      </c>
      <c r="AO9" s="16">
        <f t="shared" si="6"/>
        <v>0</v>
      </c>
      <c r="AP9" s="17"/>
      <c r="AQ9" s="47"/>
      <c r="AR9" s="47"/>
      <c r="AS9" s="48"/>
      <c r="AT9" s="83"/>
      <c r="AU9" s="82"/>
      <c r="AV9" s="83">
        <f t="shared" si="7"/>
        <v>0</v>
      </c>
      <c r="AW9" s="84"/>
      <c r="AX9" s="85"/>
      <c r="AY9" s="50"/>
      <c r="AZ9" s="88">
        <v>8</v>
      </c>
    </row>
    <row r="10" spans="1:52" ht="26.25" customHeight="1" x14ac:dyDescent="0.2">
      <c r="A10" s="2"/>
      <c r="B10" s="2"/>
      <c r="C10" s="2"/>
      <c r="D10" s="2"/>
      <c r="E10" s="5"/>
      <c r="F10" s="2"/>
      <c r="G10" s="2"/>
      <c r="H10" s="19"/>
      <c r="I10" s="2"/>
      <c r="J10" s="18"/>
      <c r="K10" s="18"/>
      <c r="L10" s="2"/>
      <c r="M10" s="2"/>
      <c r="N10" s="2"/>
      <c r="O10" s="19"/>
      <c r="P10" s="2"/>
      <c r="Q10" s="18"/>
      <c r="R10" s="18"/>
      <c r="S10" s="2"/>
      <c r="T10" s="2"/>
      <c r="U10" s="2"/>
      <c r="V10" s="19"/>
      <c r="W10" s="2"/>
      <c r="X10" s="18"/>
      <c r="Y10" s="18"/>
      <c r="Z10" s="2"/>
      <c r="AA10" s="2"/>
      <c r="AB10" s="2"/>
      <c r="AC10" s="19"/>
      <c r="AD10" s="2"/>
      <c r="AE10" s="18"/>
      <c r="AF10" s="18"/>
      <c r="AG10" s="2"/>
      <c r="AH10" s="2"/>
      <c r="AI10" s="11">
        <f t="shared" si="0"/>
        <v>0</v>
      </c>
      <c r="AJ10" s="12">
        <f t="shared" si="1"/>
        <v>0</v>
      </c>
      <c r="AK10" s="13">
        <f t="shared" si="2"/>
        <v>0</v>
      </c>
      <c r="AL10" s="14">
        <f t="shared" si="3"/>
        <v>0</v>
      </c>
      <c r="AM10" s="14">
        <f t="shared" si="4"/>
        <v>0</v>
      </c>
      <c r="AN10" s="15">
        <f t="shared" si="5"/>
        <v>0</v>
      </c>
      <c r="AO10" s="16">
        <f t="shared" si="6"/>
        <v>0</v>
      </c>
      <c r="AP10" s="17"/>
      <c r="AQ10" s="47"/>
      <c r="AR10" s="47"/>
      <c r="AS10" s="48"/>
      <c r="AT10" s="83"/>
      <c r="AU10" s="82"/>
      <c r="AV10" s="83">
        <f t="shared" si="7"/>
        <v>0</v>
      </c>
      <c r="AW10" s="84"/>
      <c r="AX10" s="85"/>
      <c r="AY10" s="50"/>
      <c r="AZ10" s="16">
        <v>9</v>
      </c>
    </row>
    <row r="11" spans="1:52" ht="26.25" customHeight="1" x14ac:dyDescent="0.2">
      <c r="A11" s="2"/>
      <c r="B11" s="2"/>
      <c r="C11" s="2"/>
      <c r="D11" s="2"/>
      <c r="E11" s="5"/>
      <c r="F11" s="2"/>
      <c r="G11" s="2"/>
      <c r="H11" s="19"/>
      <c r="I11" s="2"/>
      <c r="J11" s="18"/>
      <c r="K11" s="18"/>
      <c r="L11" s="2"/>
      <c r="M11" s="2"/>
      <c r="N11" s="2"/>
      <c r="O11" s="19"/>
      <c r="P11" s="2"/>
      <c r="Q11" s="18"/>
      <c r="R11" s="18"/>
      <c r="S11" s="2"/>
      <c r="T11" s="2"/>
      <c r="U11" s="2"/>
      <c r="V11" s="19"/>
      <c r="W11" s="2"/>
      <c r="X11" s="18"/>
      <c r="Y11" s="18"/>
      <c r="Z11" s="2"/>
      <c r="AA11" s="2"/>
      <c r="AB11" s="2"/>
      <c r="AC11" s="19"/>
      <c r="AD11" s="2"/>
      <c r="AE11" s="18"/>
      <c r="AF11" s="18"/>
      <c r="AG11" s="2"/>
      <c r="AH11" s="2"/>
      <c r="AI11" s="11">
        <f t="shared" si="0"/>
        <v>0</v>
      </c>
      <c r="AJ11" s="12">
        <f t="shared" si="1"/>
        <v>0</v>
      </c>
      <c r="AK11" s="13">
        <f t="shared" si="2"/>
        <v>0</v>
      </c>
      <c r="AL11" s="14">
        <f t="shared" si="3"/>
        <v>0</v>
      </c>
      <c r="AM11" s="14">
        <f t="shared" si="4"/>
        <v>0</v>
      </c>
      <c r="AN11" s="15">
        <f t="shared" si="5"/>
        <v>0</v>
      </c>
      <c r="AO11" s="16">
        <f t="shared" si="6"/>
        <v>0</v>
      </c>
      <c r="AP11" s="17"/>
      <c r="AQ11" s="47"/>
      <c r="AR11" s="47"/>
      <c r="AS11" s="48"/>
      <c r="AT11" s="86"/>
      <c r="AU11" s="82"/>
      <c r="AV11" s="83">
        <f t="shared" si="7"/>
        <v>0</v>
      </c>
      <c r="AW11" s="84"/>
      <c r="AX11" s="85"/>
      <c r="AY11" s="50"/>
      <c r="AZ11" s="88">
        <v>10</v>
      </c>
    </row>
    <row r="12" spans="1:52" ht="26.25" customHeight="1" x14ac:dyDescent="0.2">
      <c r="A12" s="2"/>
      <c r="B12" s="2"/>
      <c r="C12" s="2"/>
      <c r="D12" s="2"/>
      <c r="E12" s="5"/>
      <c r="F12" s="2"/>
      <c r="G12" s="2"/>
      <c r="H12" s="19"/>
      <c r="I12" s="2"/>
      <c r="J12" s="18"/>
      <c r="K12" s="18"/>
      <c r="L12" s="2"/>
      <c r="M12" s="2"/>
      <c r="N12" s="2"/>
      <c r="O12" s="19"/>
      <c r="P12" s="2"/>
      <c r="Q12" s="18"/>
      <c r="R12" s="18"/>
      <c r="S12" s="2"/>
      <c r="T12" s="2"/>
      <c r="U12" s="2"/>
      <c r="V12" s="19"/>
      <c r="W12" s="2"/>
      <c r="X12" s="18"/>
      <c r="Y12" s="18"/>
      <c r="Z12" s="2"/>
      <c r="AA12" s="2"/>
      <c r="AB12" s="2"/>
      <c r="AC12" s="19"/>
      <c r="AD12" s="2"/>
      <c r="AE12" s="18"/>
      <c r="AF12" s="18"/>
      <c r="AG12" s="2"/>
      <c r="AH12" s="2"/>
      <c r="AI12" s="11">
        <f t="shared" si="0"/>
        <v>0</v>
      </c>
      <c r="AJ12" s="12">
        <f t="shared" si="1"/>
        <v>0</v>
      </c>
      <c r="AK12" s="13">
        <f t="shared" si="2"/>
        <v>0</v>
      </c>
      <c r="AL12" s="14">
        <f t="shared" si="3"/>
        <v>0</v>
      </c>
      <c r="AM12" s="14">
        <f t="shared" si="4"/>
        <v>0</v>
      </c>
      <c r="AN12" s="15">
        <f t="shared" si="5"/>
        <v>0</v>
      </c>
      <c r="AO12" s="16">
        <f t="shared" si="6"/>
        <v>0</v>
      </c>
      <c r="AP12" s="17"/>
      <c r="AQ12" s="46"/>
      <c r="AR12" s="47"/>
      <c r="AS12" s="48"/>
      <c r="AT12" s="83"/>
      <c r="AU12" s="82"/>
      <c r="AV12" s="83">
        <f t="shared" si="7"/>
        <v>0</v>
      </c>
      <c r="AW12" s="84"/>
      <c r="AX12" s="85"/>
      <c r="AY12" s="50"/>
      <c r="AZ12" s="88">
        <v>11</v>
      </c>
    </row>
    <row r="13" spans="1:52" ht="26.25" customHeight="1" x14ac:dyDescent="0.2">
      <c r="A13" s="2"/>
      <c r="B13" s="2"/>
      <c r="C13" s="2"/>
      <c r="D13" s="2"/>
      <c r="E13" s="5"/>
      <c r="F13" s="2"/>
      <c r="G13" s="2"/>
      <c r="H13" s="19"/>
      <c r="I13" s="2"/>
      <c r="J13" s="18"/>
      <c r="K13" s="18"/>
      <c r="L13" s="2"/>
      <c r="M13" s="2"/>
      <c r="N13" s="2"/>
      <c r="O13" s="19"/>
      <c r="P13" s="2"/>
      <c r="Q13" s="18"/>
      <c r="R13" s="18"/>
      <c r="S13" s="2"/>
      <c r="T13" s="2"/>
      <c r="U13" s="2"/>
      <c r="V13" s="19"/>
      <c r="W13" s="2"/>
      <c r="X13" s="18"/>
      <c r="Y13" s="18"/>
      <c r="Z13" s="2"/>
      <c r="AA13" s="2"/>
      <c r="AB13" s="2"/>
      <c r="AC13" s="19"/>
      <c r="AD13" s="2"/>
      <c r="AE13" s="18"/>
      <c r="AF13" s="18"/>
      <c r="AG13" s="2"/>
      <c r="AH13" s="2"/>
      <c r="AI13" s="11">
        <f t="shared" si="0"/>
        <v>0</v>
      </c>
      <c r="AJ13" s="12">
        <f t="shared" si="1"/>
        <v>0</v>
      </c>
      <c r="AK13" s="13">
        <f t="shared" si="2"/>
        <v>0</v>
      </c>
      <c r="AL13" s="14">
        <f t="shared" si="3"/>
        <v>0</v>
      </c>
      <c r="AM13" s="14">
        <f t="shared" si="4"/>
        <v>0</v>
      </c>
      <c r="AN13" s="15">
        <f t="shared" si="5"/>
        <v>0</v>
      </c>
      <c r="AO13" s="16">
        <f t="shared" si="6"/>
        <v>0</v>
      </c>
      <c r="AP13" s="17"/>
      <c r="AQ13" s="47"/>
      <c r="AR13" s="47"/>
      <c r="AS13" s="48"/>
      <c r="AT13" s="83"/>
      <c r="AU13" s="82"/>
      <c r="AV13" s="83">
        <f t="shared" si="7"/>
        <v>0</v>
      </c>
      <c r="AW13" s="84"/>
      <c r="AX13" s="48"/>
      <c r="AY13" s="50"/>
      <c r="AZ13" s="88">
        <v>12</v>
      </c>
    </row>
    <row r="14" spans="1:52" ht="26.25" customHeight="1" x14ac:dyDescent="0.2">
      <c r="A14" s="2"/>
      <c r="B14" s="2"/>
      <c r="C14" s="2"/>
      <c r="D14" s="2"/>
      <c r="E14" s="5"/>
      <c r="F14" s="2"/>
      <c r="G14" s="2"/>
      <c r="H14" s="19"/>
      <c r="I14" s="2"/>
      <c r="J14" s="18"/>
      <c r="K14" s="18"/>
      <c r="L14" s="2"/>
      <c r="M14" s="2"/>
      <c r="N14" s="2"/>
      <c r="O14" s="19"/>
      <c r="P14" s="2"/>
      <c r="Q14" s="18"/>
      <c r="R14" s="18"/>
      <c r="S14" s="2"/>
      <c r="T14" s="2"/>
      <c r="U14" s="2"/>
      <c r="V14" s="19"/>
      <c r="W14" s="2"/>
      <c r="X14" s="18"/>
      <c r="Y14" s="18"/>
      <c r="Z14" s="2"/>
      <c r="AA14" s="2"/>
      <c r="AB14" s="2"/>
      <c r="AC14" s="19"/>
      <c r="AD14" s="2"/>
      <c r="AE14" s="18"/>
      <c r="AF14" s="18"/>
      <c r="AG14" s="2"/>
      <c r="AH14" s="2"/>
      <c r="AI14" s="11">
        <f t="shared" si="0"/>
        <v>0</v>
      </c>
      <c r="AJ14" s="12">
        <f t="shared" si="1"/>
        <v>0</v>
      </c>
      <c r="AK14" s="13">
        <f t="shared" si="2"/>
        <v>0</v>
      </c>
      <c r="AL14" s="14">
        <f t="shared" si="3"/>
        <v>0</v>
      </c>
      <c r="AM14" s="14">
        <f t="shared" si="4"/>
        <v>0</v>
      </c>
      <c r="AN14" s="15">
        <f t="shared" si="5"/>
        <v>0</v>
      </c>
      <c r="AO14" s="16">
        <f t="shared" si="6"/>
        <v>0</v>
      </c>
      <c r="AP14" s="17"/>
      <c r="AQ14" s="46"/>
      <c r="AR14" s="47"/>
      <c r="AS14" s="48"/>
      <c r="AT14" s="83"/>
      <c r="AU14" s="82"/>
      <c r="AV14" s="83">
        <f t="shared" si="7"/>
        <v>0</v>
      </c>
      <c r="AW14" s="84"/>
      <c r="AX14" s="48"/>
      <c r="AY14" s="50"/>
      <c r="AZ14" s="88">
        <v>13</v>
      </c>
    </row>
    <row r="15" spans="1:52" ht="26.25" customHeight="1" x14ac:dyDescent="0.2">
      <c r="A15" s="2"/>
      <c r="B15" s="2"/>
      <c r="C15" s="2"/>
      <c r="D15" s="2"/>
      <c r="E15" s="5"/>
      <c r="F15" s="2"/>
      <c r="G15" s="2"/>
      <c r="H15" s="19"/>
      <c r="I15" s="2"/>
      <c r="J15" s="18"/>
      <c r="K15" s="18"/>
      <c r="L15" s="2"/>
      <c r="M15" s="2"/>
      <c r="N15" s="2"/>
      <c r="O15" s="19"/>
      <c r="P15" s="2"/>
      <c r="Q15" s="18"/>
      <c r="R15" s="18"/>
      <c r="S15" s="2"/>
      <c r="T15" s="2"/>
      <c r="U15" s="2"/>
      <c r="V15" s="19"/>
      <c r="W15" s="2"/>
      <c r="X15" s="18"/>
      <c r="Y15" s="18"/>
      <c r="Z15" s="2"/>
      <c r="AA15" s="2"/>
      <c r="AB15" s="2"/>
      <c r="AC15" s="19"/>
      <c r="AD15" s="2"/>
      <c r="AE15" s="18"/>
      <c r="AF15" s="18"/>
      <c r="AG15" s="2"/>
      <c r="AH15" s="2"/>
      <c r="AI15" s="11">
        <f t="shared" si="0"/>
        <v>0</v>
      </c>
      <c r="AJ15" s="12">
        <f t="shared" si="1"/>
        <v>0</v>
      </c>
      <c r="AK15" s="13">
        <f t="shared" si="2"/>
        <v>0</v>
      </c>
      <c r="AL15" s="14">
        <f t="shared" si="3"/>
        <v>0</v>
      </c>
      <c r="AM15" s="14">
        <f t="shared" si="4"/>
        <v>0</v>
      </c>
      <c r="AN15" s="15">
        <f t="shared" si="5"/>
        <v>0</v>
      </c>
      <c r="AO15" s="16">
        <f t="shared" si="6"/>
        <v>0</v>
      </c>
      <c r="AP15" s="17"/>
      <c r="AQ15" s="46"/>
      <c r="AR15" s="47"/>
      <c r="AS15" s="48"/>
      <c r="AT15" s="83"/>
      <c r="AU15" s="82"/>
      <c r="AV15" s="83">
        <f t="shared" si="7"/>
        <v>0</v>
      </c>
      <c r="AW15" s="84"/>
      <c r="AX15" s="48"/>
      <c r="AY15" s="50"/>
      <c r="AZ15" s="88">
        <v>14</v>
      </c>
    </row>
    <row r="16" spans="1:52" ht="26.25" customHeight="1" x14ac:dyDescent="0.2">
      <c r="A16" s="2"/>
      <c r="B16" s="2"/>
      <c r="C16" s="2"/>
      <c r="D16" s="2"/>
      <c r="E16" s="5"/>
      <c r="F16" s="2"/>
      <c r="G16" s="2"/>
      <c r="H16" s="19"/>
      <c r="I16" s="2"/>
      <c r="J16" s="18"/>
      <c r="K16" s="18"/>
      <c r="L16" s="2"/>
      <c r="M16" s="2"/>
      <c r="N16" s="2"/>
      <c r="O16" s="19"/>
      <c r="P16" s="2"/>
      <c r="Q16" s="18"/>
      <c r="R16" s="18"/>
      <c r="S16" s="2"/>
      <c r="T16" s="2"/>
      <c r="U16" s="2"/>
      <c r="V16" s="19"/>
      <c r="W16" s="2"/>
      <c r="X16" s="18"/>
      <c r="Y16" s="18"/>
      <c r="Z16" s="2"/>
      <c r="AA16" s="2"/>
      <c r="AB16" s="2"/>
      <c r="AC16" s="19"/>
      <c r="AD16" s="2"/>
      <c r="AE16" s="18"/>
      <c r="AF16" s="18"/>
      <c r="AG16" s="2"/>
      <c r="AH16" s="2"/>
      <c r="AI16" s="11">
        <f t="shared" si="0"/>
        <v>0</v>
      </c>
      <c r="AJ16" s="12">
        <f t="shared" si="1"/>
        <v>0</v>
      </c>
      <c r="AK16" s="13">
        <f t="shared" si="2"/>
        <v>0</v>
      </c>
      <c r="AL16" s="14">
        <f t="shared" si="3"/>
        <v>0</v>
      </c>
      <c r="AM16" s="14">
        <f t="shared" si="4"/>
        <v>0</v>
      </c>
      <c r="AN16" s="15">
        <f t="shared" si="5"/>
        <v>0</v>
      </c>
      <c r="AO16" s="16">
        <f t="shared" si="6"/>
        <v>0</v>
      </c>
      <c r="AP16" s="17"/>
      <c r="AQ16" s="46"/>
      <c r="AR16" s="47"/>
      <c r="AS16" s="48"/>
      <c r="AT16" s="83"/>
      <c r="AU16" s="82"/>
      <c r="AV16" s="83">
        <f t="shared" si="7"/>
        <v>0</v>
      </c>
      <c r="AW16" s="84"/>
      <c r="AX16" s="48"/>
      <c r="AY16" s="50"/>
      <c r="AZ16" s="88">
        <v>15</v>
      </c>
    </row>
    <row r="17" spans="1:52" ht="26.25" customHeight="1" x14ac:dyDescent="0.2">
      <c r="A17" s="2"/>
      <c r="B17" s="2"/>
      <c r="C17" s="2"/>
      <c r="D17" s="2"/>
      <c r="E17" s="5"/>
      <c r="F17" s="2"/>
      <c r="G17" s="2"/>
      <c r="H17" s="19"/>
      <c r="I17" s="2"/>
      <c r="J17" s="18"/>
      <c r="K17" s="18"/>
      <c r="L17" s="2"/>
      <c r="M17" s="2"/>
      <c r="N17" s="2"/>
      <c r="O17" s="19"/>
      <c r="P17" s="2"/>
      <c r="Q17" s="18"/>
      <c r="R17" s="18"/>
      <c r="S17" s="2"/>
      <c r="T17" s="2"/>
      <c r="U17" s="2"/>
      <c r="V17" s="19"/>
      <c r="W17" s="2"/>
      <c r="X17" s="18"/>
      <c r="Y17" s="18"/>
      <c r="Z17" s="2"/>
      <c r="AA17" s="2"/>
      <c r="AB17" s="2"/>
      <c r="AC17" s="19"/>
      <c r="AD17" s="2"/>
      <c r="AE17" s="18"/>
      <c r="AF17" s="18"/>
      <c r="AG17" s="2"/>
      <c r="AH17" s="2"/>
      <c r="AI17" s="11">
        <f t="shared" si="0"/>
        <v>0</v>
      </c>
      <c r="AJ17" s="12">
        <f t="shared" si="1"/>
        <v>0</v>
      </c>
      <c r="AK17" s="13">
        <f t="shared" si="2"/>
        <v>0</v>
      </c>
      <c r="AL17" s="14">
        <f t="shared" si="3"/>
        <v>0</v>
      </c>
      <c r="AM17" s="14">
        <f t="shared" si="4"/>
        <v>0</v>
      </c>
      <c r="AN17" s="15">
        <f t="shared" si="5"/>
        <v>0</v>
      </c>
      <c r="AO17" s="16">
        <f t="shared" si="6"/>
        <v>0</v>
      </c>
      <c r="AP17" s="17"/>
      <c r="AQ17" s="46"/>
      <c r="AR17" s="47"/>
      <c r="AS17" s="48"/>
      <c r="AT17" s="83"/>
      <c r="AU17" s="82"/>
      <c r="AV17" s="83">
        <f t="shared" si="7"/>
        <v>0</v>
      </c>
      <c r="AW17" s="84"/>
      <c r="AX17" s="48"/>
      <c r="AY17" s="50"/>
      <c r="AZ17" s="88">
        <v>16</v>
      </c>
    </row>
    <row r="18" spans="1:52" ht="26.25" customHeight="1" x14ac:dyDescent="0.2">
      <c r="A18" s="2"/>
      <c r="B18" s="2"/>
      <c r="C18" s="2"/>
      <c r="D18" s="2"/>
      <c r="E18" s="5"/>
      <c r="F18" s="2"/>
      <c r="G18" s="2"/>
      <c r="H18" s="19"/>
      <c r="I18" s="2"/>
      <c r="J18" s="18"/>
      <c r="K18" s="18"/>
      <c r="L18" s="2"/>
      <c r="M18" s="2"/>
      <c r="N18" s="2"/>
      <c r="O18" s="19"/>
      <c r="P18" s="2"/>
      <c r="Q18" s="18"/>
      <c r="R18" s="18"/>
      <c r="S18" s="2"/>
      <c r="T18" s="2"/>
      <c r="U18" s="2"/>
      <c r="V18" s="19"/>
      <c r="W18" s="2"/>
      <c r="X18" s="18"/>
      <c r="Y18" s="18"/>
      <c r="Z18" s="2"/>
      <c r="AA18" s="2"/>
      <c r="AB18" s="2"/>
      <c r="AC18" s="19"/>
      <c r="AD18" s="2"/>
      <c r="AE18" s="18"/>
      <c r="AF18" s="18"/>
      <c r="AG18" s="2"/>
      <c r="AH18" s="2"/>
      <c r="AI18" s="11">
        <f t="shared" si="0"/>
        <v>0</v>
      </c>
      <c r="AJ18" s="12">
        <f t="shared" si="1"/>
        <v>0</v>
      </c>
      <c r="AK18" s="13">
        <f t="shared" si="2"/>
        <v>0</v>
      </c>
      <c r="AL18" s="14">
        <f t="shared" si="3"/>
        <v>0</v>
      </c>
      <c r="AM18" s="14">
        <f t="shared" si="4"/>
        <v>0</v>
      </c>
      <c r="AN18" s="15">
        <f t="shared" si="5"/>
        <v>0</v>
      </c>
      <c r="AO18" s="16">
        <f t="shared" si="6"/>
        <v>0</v>
      </c>
      <c r="AP18" s="17"/>
      <c r="AQ18" s="47"/>
      <c r="AR18" s="47"/>
      <c r="AS18" s="48"/>
      <c r="AT18" s="83"/>
      <c r="AU18" s="82"/>
      <c r="AV18" s="83">
        <f t="shared" si="7"/>
        <v>0</v>
      </c>
      <c r="AW18" s="84"/>
      <c r="AX18" s="48"/>
      <c r="AY18" s="50"/>
      <c r="AZ18" s="88">
        <v>17</v>
      </c>
    </row>
    <row r="19" spans="1:52" ht="26.25" customHeight="1" x14ac:dyDescent="0.2">
      <c r="A19" s="2"/>
      <c r="B19" s="2"/>
      <c r="C19" s="2"/>
      <c r="D19" s="2"/>
      <c r="E19" s="5"/>
      <c r="F19" s="2"/>
      <c r="G19" s="2"/>
      <c r="H19" s="19"/>
      <c r="I19" s="2"/>
      <c r="J19" s="18"/>
      <c r="K19" s="18"/>
      <c r="L19" s="2"/>
      <c r="M19" s="2"/>
      <c r="N19" s="2"/>
      <c r="O19" s="19"/>
      <c r="P19" s="2"/>
      <c r="Q19" s="18"/>
      <c r="R19" s="18"/>
      <c r="S19" s="2"/>
      <c r="T19" s="2"/>
      <c r="U19" s="2"/>
      <c r="V19" s="19"/>
      <c r="W19" s="2"/>
      <c r="X19" s="18"/>
      <c r="Y19" s="18"/>
      <c r="Z19" s="2"/>
      <c r="AA19" s="2"/>
      <c r="AB19" s="2"/>
      <c r="AC19" s="19"/>
      <c r="AD19" s="2"/>
      <c r="AE19" s="18"/>
      <c r="AF19" s="18"/>
      <c r="AG19" s="2"/>
      <c r="AH19" s="2"/>
      <c r="AI19" s="11">
        <f t="shared" si="0"/>
        <v>0</v>
      </c>
      <c r="AJ19" s="12">
        <f t="shared" si="1"/>
        <v>0</v>
      </c>
      <c r="AK19" s="13">
        <f t="shared" si="2"/>
        <v>0</v>
      </c>
      <c r="AL19" s="14">
        <f t="shared" si="3"/>
        <v>0</v>
      </c>
      <c r="AM19" s="14">
        <f t="shared" si="4"/>
        <v>0</v>
      </c>
      <c r="AN19" s="15">
        <f t="shared" si="5"/>
        <v>0</v>
      </c>
      <c r="AO19" s="16">
        <f t="shared" si="6"/>
        <v>0</v>
      </c>
      <c r="AP19" s="17"/>
      <c r="AQ19" s="47"/>
      <c r="AR19" s="47"/>
      <c r="AS19" s="48"/>
      <c r="AT19" s="83"/>
      <c r="AU19" s="82"/>
      <c r="AV19" s="83">
        <f t="shared" si="7"/>
        <v>0</v>
      </c>
      <c r="AW19" s="84"/>
      <c r="AX19" s="48"/>
      <c r="AY19" s="50"/>
      <c r="AZ19" s="88">
        <v>18</v>
      </c>
    </row>
    <row r="20" spans="1:52" s="42" customFormat="1" ht="27.75" customHeight="1" x14ac:dyDescent="0.2">
      <c r="A20" s="2"/>
      <c r="B20" s="2"/>
      <c r="C20" s="2"/>
      <c r="D20" s="2"/>
      <c r="E20" s="5"/>
      <c r="F20" s="2"/>
      <c r="G20" s="2"/>
      <c r="H20" s="19"/>
      <c r="I20" s="2"/>
      <c r="J20" s="18"/>
      <c r="K20" s="18"/>
      <c r="L20" s="2"/>
      <c r="M20" s="2"/>
      <c r="N20" s="2"/>
      <c r="O20" s="19"/>
      <c r="P20" s="2"/>
      <c r="Q20" s="18"/>
      <c r="R20" s="18"/>
      <c r="S20" s="2"/>
      <c r="T20" s="2"/>
      <c r="U20" s="2"/>
      <c r="V20" s="19"/>
      <c r="W20" s="2"/>
      <c r="X20" s="18"/>
      <c r="Y20" s="18"/>
      <c r="Z20" s="2"/>
      <c r="AA20" s="2"/>
      <c r="AB20" s="2"/>
      <c r="AC20" s="19"/>
      <c r="AD20" s="2"/>
      <c r="AE20" s="18"/>
      <c r="AF20" s="18"/>
      <c r="AG20" s="2"/>
      <c r="AH20" s="2"/>
      <c r="AI20" s="11">
        <f t="shared" si="0"/>
        <v>0</v>
      </c>
      <c r="AJ20" s="12">
        <f t="shared" si="1"/>
        <v>0</v>
      </c>
      <c r="AK20" s="13">
        <f t="shared" si="2"/>
        <v>0</v>
      </c>
      <c r="AL20" s="14">
        <f t="shared" si="3"/>
        <v>0</v>
      </c>
      <c r="AM20" s="14">
        <f t="shared" si="4"/>
        <v>0</v>
      </c>
      <c r="AN20" s="15">
        <f t="shared" si="5"/>
        <v>0</v>
      </c>
      <c r="AO20" s="16">
        <f t="shared" si="6"/>
        <v>0</v>
      </c>
      <c r="AP20" s="17"/>
      <c r="AQ20" s="47"/>
      <c r="AR20" s="47"/>
      <c r="AS20" s="48"/>
      <c r="AT20" s="83"/>
      <c r="AU20" s="82"/>
      <c r="AV20" s="83">
        <f t="shared" si="7"/>
        <v>0</v>
      </c>
      <c r="AW20" s="84"/>
      <c r="AX20" s="48"/>
      <c r="AY20" s="50"/>
      <c r="AZ20" s="88"/>
    </row>
    <row r="21" spans="1:52" ht="27.75" customHeight="1" thickBot="1" x14ac:dyDescent="0.25">
      <c r="A21" s="2"/>
      <c r="B21" s="2"/>
      <c r="C21" s="2"/>
      <c r="D21" s="2"/>
      <c r="E21" s="5"/>
      <c r="F21" s="2"/>
      <c r="G21" s="2"/>
      <c r="H21" s="19"/>
      <c r="I21" s="2"/>
      <c r="J21" s="18"/>
      <c r="K21" s="18"/>
      <c r="L21" s="2"/>
      <c r="M21" s="2"/>
      <c r="N21" s="2"/>
      <c r="O21" s="19"/>
      <c r="P21" s="2"/>
      <c r="Q21" s="18"/>
      <c r="R21" s="18"/>
      <c r="S21" s="2"/>
      <c r="T21" s="2"/>
      <c r="U21" s="2"/>
      <c r="V21" s="19"/>
      <c r="W21" s="2"/>
      <c r="X21" s="18"/>
      <c r="Y21" s="18"/>
      <c r="Z21" s="2"/>
      <c r="AA21" s="2"/>
      <c r="AB21" s="2"/>
      <c r="AC21" s="19"/>
      <c r="AD21" s="2"/>
      <c r="AE21" s="18"/>
      <c r="AF21" s="18"/>
      <c r="AG21" s="2"/>
      <c r="AH21" s="2"/>
      <c r="AI21" s="11">
        <f t="shared" si="0"/>
        <v>0</v>
      </c>
      <c r="AJ21" s="12">
        <f t="shared" si="1"/>
        <v>0</v>
      </c>
      <c r="AK21" s="13">
        <f t="shared" si="2"/>
        <v>0</v>
      </c>
      <c r="AL21" s="14">
        <f t="shared" si="3"/>
        <v>0</v>
      </c>
      <c r="AM21" s="14">
        <f t="shared" si="4"/>
        <v>0</v>
      </c>
      <c r="AN21" s="15">
        <f t="shared" si="5"/>
        <v>0</v>
      </c>
      <c r="AO21" s="16">
        <f t="shared" si="6"/>
        <v>0</v>
      </c>
      <c r="AP21" s="17"/>
      <c r="AQ21" s="47"/>
      <c r="AR21" s="47"/>
      <c r="AS21" s="48"/>
      <c r="AT21" s="83"/>
      <c r="AU21" s="82"/>
      <c r="AV21" s="83">
        <f t="shared" si="7"/>
        <v>0</v>
      </c>
      <c r="AW21" s="84"/>
      <c r="AX21" s="48"/>
      <c r="AY21" s="50"/>
      <c r="AZ21" s="88"/>
    </row>
    <row r="22" spans="1:52" ht="18" thickBot="1" x14ac:dyDescent="0.25">
      <c r="M22" s="22" t="s">
        <v>46</v>
      </c>
      <c r="N22" s="23" t="s">
        <v>47</v>
      </c>
    </row>
    <row r="23" spans="1:52" ht="19.5" thickBot="1" x14ac:dyDescent="0.25">
      <c r="L23" s="24"/>
      <c r="M23" s="25">
        <v>1</v>
      </c>
      <c r="N23" s="25">
        <f>B2</f>
        <v>0</v>
      </c>
      <c r="AL23" s="43"/>
    </row>
    <row r="24" spans="1:52" ht="24.75" thickBot="1" x14ac:dyDescent="0.3">
      <c r="D24" s="20" t="s">
        <v>84</v>
      </c>
      <c r="L24" s="26"/>
      <c r="M24" s="16">
        <v>2</v>
      </c>
      <c r="N24" s="16">
        <f t="shared" ref="N24:N25" si="8">B3</f>
        <v>0</v>
      </c>
      <c r="P24" s="51" t="s">
        <v>35</v>
      </c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1" t="s">
        <v>35</v>
      </c>
      <c r="AE24" s="52"/>
      <c r="AF24" s="53"/>
      <c r="AP24" s="54" t="s">
        <v>50</v>
      </c>
      <c r="AQ24" s="55">
        <f t="shared" ref="AQ24:AQ33" si="9">COUNTIF(AK$2:AK$19,AP24)</f>
        <v>0</v>
      </c>
    </row>
    <row r="25" spans="1:52" ht="21.75" thickBot="1" x14ac:dyDescent="0.25">
      <c r="D25" s="89"/>
      <c r="L25" s="27"/>
      <c r="M25" s="28">
        <v>3</v>
      </c>
      <c r="N25" s="28">
        <f t="shared" si="8"/>
        <v>0</v>
      </c>
      <c r="P25" s="56" t="s">
        <v>36</v>
      </c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7"/>
      <c r="AP25" s="58" t="s">
        <v>51</v>
      </c>
      <c r="AQ25" s="59">
        <f t="shared" si="9"/>
        <v>0</v>
      </c>
    </row>
    <row r="26" spans="1:52" ht="21.75" thickBot="1" x14ac:dyDescent="0.25">
      <c r="D26" s="89"/>
      <c r="L26" s="29"/>
      <c r="M26" s="25">
        <v>16</v>
      </c>
      <c r="N26" s="25">
        <f>B17</f>
        <v>0</v>
      </c>
      <c r="P26" s="60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61" t="s">
        <v>37</v>
      </c>
      <c r="AE26" s="52"/>
      <c r="AF26" s="53"/>
      <c r="AP26" s="58" t="s">
        <v>52</v>
      </c>
      <c r="AQ26" s="59">
        <f t="shared" si="9"/>
        <v>0</v>
      </c>
    </row>
    <row r="27" spans="1:52" ht="21.75" thickBot="1" x14ac:dyDescent="0.25">
      <c r="D27" s="89"/>
      <c r="L27" s="30"/>
      <c r="M27" s="16">
        <v>17</v>
      </c>
      <c r="N27" s="16">
        <f t="shared" ref="N27:N28" si="10">B18</f>
        <v>0</v>
      </c>
      <c r="P27" s="61" t="s">
        <v>37</v>
      </c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7"/>
      <c r="AP27" s="58" t="s">
        <v>53</v>
      </c>
      <c r="AQ27" s="59">
        <f t="shared" si="9"/>
        <v>0</v>
      </c>
    </row>
    <row r="28" spans="1:52" ht="21.75" thickBot="1" x14ac:dyDescent="0.25">
      <c r="L28" s="30"/>
      <c r="M28" s="28">
        <v>18</v>
      </c>
      <c r="N28" s="28">
        <f t="shared" si="10"/>
        <v>0</v>
      </c>
      <c r="P28" s="60" t="s">
        <v>38</v>
      </c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7"/>
      <c r="AP28" s="58" t="s">
        <v>54</v>
      </c>
      <c r="AQ28" s="59">
        <f t="shared" si="9"/>
        <v>0</v>
      </c>
    </row>
    <row r="29" spans="1:52" ht="21.75" thickBot="1" x14ac:dyDescent="0.25">
      <c r="L29" s="31"/>
      <c r="M29" s="25">
        <v>4</v>
      </c>
      <c r="N29" s="25">
        <f>B5</f>
        <v>0</v>
      </c>
      <c r="P29" s="60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62"/>
      <c r="AD29" s="62"/>
      <c r="AE29" s="62"/>
      <c r="AF29" s="57"/>
      <c r="AG29" s="63"/>
      <c r="AH29" s="63"/>
      <c r="AI29" s="63"/>
      <c r="AJ29" s="63"/>
      <c r="AP29" s="64" t="s">
        <v>55</v>
      </c>
      <c r="AQ29" s="65">
        <f t="shared" si="9"/>
        <v>0</v>
      </c>
      <c r="AR29" s="21">
        <f>SUM(AQ24:AQ29)</f>
        <v>0</v>
      </c>
    </row>
    <row r="30" spans="1:52" ht="21.75" thickBot="1" x14ac:dyDescent="0.25">
      <c r="L30" s="32"/>
      <c r="M30" s="16">
        <v>5</v>
      </c>
      <c r="N30" s="16">
        <f t="shared" ref="N30:N31" si="11">B6</f>
        <v>0</v>
      </c>
      <c r="P30" s="61" t="s">
        <v>39</v>
      </c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62"/>
      <c r="AD30" s="61" t="s">
        <v>39</v>
      </c>
      <c r="AE30" s="62"/>
      <c r="AF30" s="53"/>
      <c r="AG30" s="63"/>
      <c r="AH30" s="63"/>
      <c r="AI30" s="63"/>
      <c r="AJ30" s="63"/>
      <c r="AP30" s="66" t="s">
        <v>56</v>
      </c>
      <c r="AQ30" s="67">
        <f t="shared" si="9"/>
        <v>0</v>
      </c>
    </row>
    <row r="31" spans="1:52" ht="21.75" thickBot="1" x14ac:dyDescent="0.25">
      <c r="L31" s="32"/>
      <c r="M31" s="16">
        <v>6</v>
      </c>
      <c r="N31" s="16">
        <f t="shared" si="11"/>
        <v>0</v>
      </c>
      <c r="P31" s="60" t="s">
        <v>40</v>
      </c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62"/>
      <c r="AD31" s="62"/>
      <c r="AE31" s="62"/>
      <c r="AF31" s="53"/>
      <c r="AG31" s="63"/>
      <c r="AH31" s="63"/>
      <c r="AI31" s="63"/>
      <c r="AJ31" s="63"/>
      <c r="AP31" s="58" t="s">
        <v>57</v>
      </c>
      <c r="AQ31" s="59">
        <f t="shared" si="9"/>
        <v>0</v>
      </c>
    </row>
    <row r="32" spans="1:52" ht="21.75" thickBot="1" x14ac:dyDescent="0.25">
      <c r="L32" s="32"/>
      <c r="M32" s="16">
        <v>11</v>
      </c>
      <c r="N32" s="16">
        <f>B12</f>
        <v>0</v>
      </c>
      <c r="P32" s="60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62"/>
      <c r="AD32" s="62"/>
      <c r="AE32" s="62"/>
      <c r="AF32" s="57"/>
      <c r="AG32" s="63"/>
      <c r="AH32" s="63"/>
      <c r="AI32" s="63"/>
      <c r="AJ32" s="63"/>
      <c r="AP32" s="58" t="s">
        <v>58</v>
      </c>
      <c r="AQ32" s="59">
        <f t="shared" si="9"/>
        <v>0</v>
      </c>
    </row>
    <row r="33" spans="3:51" ht="21.75" thickBot="1" x14ac:dyDescent="0.25">
      <c r="L33" s="33"/>
      <c r="M33" s="34">
        <v>12</v>
      </c>
      <c r="N33" s="34">
        <f t="shared" ref="N33:N34" si="12">B13</f>
        <v>0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7"/>
      <c r="AP33" s="68" t="s">
        <v>59</v>
      </c>
      <c r="AQ33" s="69">
        <f t="shared" si="9"/>
        <v>0</v>
      </c>
      <c r="AR33" s="21">
        <f>SUM(AQ30:AQ33)</f>
        <v>0</v>
      </c>
    </row>
    <row r="34" spans="3:51" ht="21.75" thickBot="1" x14ac:dyDescent="0.25">
      <c r="L34" s="35"/>
      <c r="M34" s="28">
        <v>13</v>
      </c>
      <c r="N34" s="28">
        <f t="shared" si="12"/>
        <v>0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7"/>
      <c r="AP34" s="70" t="s">
        <v>60</v>
      </c>
      <c r="AQ34" s="71">
        <f>SUM(AQ24:AQ33)</f>
        <v>0</v>
      </c>
    </row>
    <row r="35" spans="3:51" ht="19.5" thickBot="1" x14ac:dyDescent="0.25">
      <c r="L35" s="36"/>
      <c r="M35" s="37">
        <v>7</v>
      </c>
      <c r="N35" s="37">
        <f>B8</f>
        <v>0</v>
      </c>
      <c r="P35" s="61" t="s">
        <v>41</v>
      </c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61" t="s">
        <v>41</v>
      </c>
      <c r="AE35" s="52"/>
      <c r="AF35" s="53"/>
    </row>
    <row r="36" spans="3:51" ht="19.5" thickBot="1" x14ac:dyDescent="0.25">
      <c r="L36" s="38"/>
      <c r="M36" s="34">
        <v>8</v>
      </c>
      <c r="N36" s="34">
        <f t="shared" ref="N36:N38" si="13">B9</f>
        <v>0</v>
      </c>
      <c r="P36" s="60" t="s">
        <v>42</v>
      </c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3"/>
    </row>
    <row r="37" spans="3:51" ht="19.5" thickBot="1" x14ac:dyDescent="0.25">
      <c r="L37" s="39"/>
      <c r="M37" s="16">
        <v>9</v>
      </c>
      <c r="N37" s="16">
        <f t="shared" si="13"/>
        <v>0</v>
      </c>
      <c r="P37" s="60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7"/>
    </row>
    <row r="38" spans="3:51" ht="19.5" thickBot="1" x14ac:dyDescent="0.25">
      <c r="L38" s="40"/>
      <c r="M38" s="41">
        <v>10</v>
      </c>
      <c r="N38" s="41">
        <f t="shared" si="13"/>
        <v>0</v>
      </c>
      <c r="P38" s="61" t="s">
        <v>43</v>
      </c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7"/>
    </row>
    <row r="39" spans="3:51" ht="17.25" x14ac:dyDescent="0.15">
      <c r="P39" s="60" t="s">
        <v>44</v>
      </c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</row>
    <row r="40" spans="3:51" ht="13.5" customHeight="1" x14ac:dyDescent="0.15">
      <c r="C40" s="93" t="s">
        <v>61</v>
      </c>
      <c r="D40" s="94"/>
      <c r="E40" s="95"/>
      <c r="AU40" s="72"/>
      <c r="AY40" s="72"/>
    </row>
    <row r="41" spans="3:51" ht="14.25" customHeight="1" x14ac:dyDescent="0.15">
      <c r="C41" s="96"/>
      <c r="D41" s="97"/>
      <c r="E41" s="98"/>
      <c r="AU41" s="72"/>
      <c r="AY41" s="72"/>
    </row>
    <row r="42" spans="3:51" ht="20.25" customHeight="1" x14ac:dyDescent="0.15">
      <c r="C42" s="73"/>
      <c r="D42" s="99" t="s">
        <v>62</v>
      </c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1"/>
      <c r="P42" s="99" t="s">
        <v>63</v>
      </c>
      <c r="Q42" s="100"/>
      <c r="R42" s="100"/>
      <c r="S42" s="100"/>
      <c r="T42" s="100"/>
      <c r="U42" s="100"/>
      <c r="V42" s="100"/>
      <c r="W42" s="100"/>
      <c r="X42" s="100"/>
      <c r="Y42" s="100"/>
      <c r="Z42" s="101"/>
      <c r="AA42" s="74" t="s">
        <v>64</v>
      </c>
      <c r="AU42" s="72"/>
      <c r="AY42" s="72"/>
    </row>
    <row r="43" spans="3:51" ht="20.25" customHeight="1" x14ac:dyDescent="0.2">
      <c r="C43" s="75">
        <v>1</v>
      </c>
      <c r="D43" s="90" t="s">
        <v>65</v>
      </c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2"/>
      <c r="P43" s="90" t="s">
        <v>66</v>
      </c>
      <c r="Q43" s="91"/>
      <c r="R43" s="91"/>
      <c r="S43" s="91"/>
      <c r="T43" s="91"/>
      <c r="U43" s="91"/>
      <c r="V43" s="91"/>
      <c r="W43" s="91"/>
      <c r="X43" s="91"/>
      <c r="Y43" s="91"/>
      <c r="Z43" s="92"/>
      <c r="AA43" s="76"/>
      <c r="AU43" s="72"/>
      <c r="AY43" s="72"/>
    </row>
    <row r="44" spans="3:51" ht="20.25" customHeight="1" x14ac:dyDescent="0.2">
      <c r="C44" s="75">
        <v>2</v>
      </c>
      <c r="D44" s="90" t="s">
        <v>67</v>
      </c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2"/>
      <c r="P44" s="90" t="s">
        <v>68</v>
      </c>
      <c r="Q44" s="91"/>
      <c r="R44" s="91"/>
      <c r="S44" s="91"/>
      <c r="T44" s="91"/>
      <c r="U44" s="91"/>
      <c r="V44" s="91"/>
      <c r="W44" s="91"/>
      <c r="X44" s="91"/>
      <c r="Y44" s="91"/>
      <c r="Z44" s="92"/>
      <c r="AA44" s="76"/>
      <c r="AU44" s="72"/>
      <c r="AY44" s="72"/>
    </row>
    <row r="45" spans="3:51" ht="20.25" customHeight="1" x14ac:dyDescent="0.2">
      <c r="C45" s="75">
        <v>3</v>
      </c>
      <c r="D45" s="90" t="s">
        <v>69</v>
      </c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2"/>
      <c r="P45" s="90" t="s">
        <v>70</v>
      </c>
      <c r="Q45" s="91"/>
      <c r="R45" s="91"/>
      <c r="S45" s="91"/>
      <c r="T45" s="91"/>
      <c r="U45" s="91"/>
      <c r="V45" s="91"/>
      <c r="W45" s="91"/>
      <c r="X45" s="91"/>
      <c r="Y45" s="91"/>
      <c r="Z45" s="92"/>
      <c r="AA45" s="76"/>
      <c r="AU45" s="72"/>
      <c r="AY45" s="72"/>
    </row>
    <row r="46" spans="3:51" ht="20.25" customHeight="1" x14ac:dyDescent="0.2">
      <c r="C46" s="75">
        <v>4</v>
      </c>
      <c r="D46" s="90" t="s">
        <v>71</v>
      </c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2"/>
      <c r="P46" s="90" t="s">
        <v>72</v>
      </c>
      <c r="Q46" s="91"/>
      <c r="R46" s="91"/>
      <c r="S46" s="91"/>
      <c r="T46" s="91"/>
      <c r="U46" s="91"/>
      <c r="V46" s="91"/>
      <c r="W46" s="91"/>
      <c r="X46" s="91"/>
      <c r="Y46" s="91"/>
      <c r="Z46" s="92"/>
      <c r="AA46" s="76"/>
      <c r="AU46" s="72"/>
      <c r="AY46" s="72"/>
    </row>
    <row r="47" spans="3:51" ht="20.25" customHeight="1" x14ac:dyDescent="0.2">
      <c r="C47" s="75">
        <v>5</v>
      </c>
      <c r="D47" s="90" t="s">
        <v>73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2"/>
      <c r="P47" s="90" t="s">
        <v>74</v>
      </c>
      <c r="Q47" s="91"/>
      <c r="R47" s="91"/>
      <c r="S47" s="91"/>
      <c r="T47" s="91"/>
      <c r="U47" s="91"/>
      <c r="V47" s="91"/>
      <c r="W47" s="91"/>
      <c r="X47" s="91"/>
      <c r="Y47" s="91"/>
      <c r="Z47" s="92"/>
      <c r="AA47" s="76"/>
      <c r="AU47" s="72"/>
      <c r="AY47" s="72"/>
    </row>
    <row r="48" spans="3:51" ht="20.25" customHeight="1" x14ac:dyDescent="0.2">
      <c r="C48" s="75">
        <v>6</v>
      </c>
      <c r="D48" s="90" t="s">
        <v>75</v>
      </c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2"/>
      <c r="P48" s="90" t="s">
        <v>76</v>
      </c>
      <c r="Q48" s="91"/>
      <c r="R48" s="91"/>
      <c r="S48" s="91"/>
      <c r="T48" s="91"/>
      <c r="U48" s="91"/>
      <c r="V48" s="91"/>
      <c r="W48" s="91"/>
      <c r="X48" s="91"/>
      <c r="Y48" s="91"/>
      <c r="Z48" s="92"/>
      <c r="AA48" s="76"/>
      <c r="AU48" s="72"/>
      <c r="AY48" s="72"/>
    </row>
    <row r="49" spans="3:51" ht="20.25" customHeight="1" x14ac:dyDescent="0.2">
      <c r="C49" s="75">
        <v>7</v>
      </c>
      <c r="D49" s="90" t="s">
        <v>77</v>
      </c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2"/>
      <c r="P49" s="90" t="s">
        <v>78</v>
      </c>
      <c r="Q49" s="91"/>
      <c r="R49" s="91"/>
      <c r="S49" s="91"/>
      <c r="T49" s="91"/>
      <c r="U49" s="91"/>
      <c r="V49" s="91"/>
      <c r="W49" s="91"/>
      <c r="X49" s="91"/>
      <c r="Y49" s="91"/>
      <c r="Z49" s="92"/>
      <c r="AA49" s="76"/>
      <c r="AU49" s="72"/>
      <c r="AY49" s="72"/>
    </row>
    <row r="50" spans="3:51" ht="20.25" customHeight="1" x14ac:dyDescent="0.2">
      <c r="C50" s="75">
        <v>8</v>
      </c>
      <c r="D50" s="90" t="s">
        <v>79</v>
      </c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2"/>
      <c r="P50" s="90" t="s">
        <v>80</v>
      </c>
      <c r="Q50" s="91"/>
      <c r="R50" s="91"/>
      <c r="S50" s="91"/>
      <c r="T50" s="91"/>
      <c r="U50" s="91"/>
      <c r="V50" s="91"/>
      <c r="W50" s="91"/>
      <c r="X50" s="91"/>
      <c r="Y50" s="91"/>
      <c r="Z50" s="92"/>
      <c r="AA50" s="76"/>
      <c r="AU50" s="72"/>
      <c r="AY50" s="72"/>
    </row>
  </sheetData>
  <autoFilter ref="A1:AP1" xr:uid="{00000000-0001-0000-0400-000000000000}"/>
  <mergeCells count="19">
    <mergeCell ref="D48:O48"/>
    <mergeCell ref="P48:Z48"/>
    <mergeCell ref="D49:O49"/>
    <mergeCell ref="P49:Z49"/>
    <mergeCell ref="D50:O50"/>
    <mergeCell ref="P50:Z50"/>
    <mergeCell ref="D45:O45"/>
    <mergeCell ref="P45:Z45"/>
    <mergeCell ref="D46:O46"/>
    <mergeCell ref="P46:Z46"/>
    <mergeCell ref="D47:O47"/>
    <mergeCell ref="P47:Z47"/>
    <mergeCell ref="D44:O44"/>
    <mergeCell ref="P44:Z44"/>
    <mergeCell ref="C40:E41"/>
    <mergeCell ref="D42:O42"/>
    <mergeCell ref="P42:Z42"/>
    <mergeCell ref="D43:O43"/>
    <mergeCell ref="P43:Z43"/>
  </mergeCells>
  <phoneticPr fontId="2"/>
  <conditionalFormatting sqref="E2:E21">
    <cfRule type="containsText" dxfId="40" priority="21" operator="containsText" text="せん">
      <formula>NOT(ISERROR(SEARCH("せん",E2)))</formula>
    </cfRule>
    <cfRule type="containsText" dxfId="39" priority="23" operator="containsText" text="牝">
      <formula>NOT(ISERROR(SEARCH("牝",E2)))</formula>
    </cfRule>
    <cfRule type="containsText" dxfId="38" priority="22" operator="containsText" text="セ">
      <formula>NOT(ISERROR(SEARCH("セ",E2)))</formula>
    </cfRule>
  </conditionalFormatting>
  <conditionalFormatting sqref="H2:H20">
    <cfRule type="containsText" dxfId="37" priority="30" operator="containsText" text="中京">
      <formula>NOT(ISERROR(SEARCH("中京",H2)))</formula>
    </cfRule>
  </conditionalFormatting>
  <conditionalFormatting sqref="H21 O21 V21 AC21">
    <cfRule type="containsText" dxfId="36" priority="17" operator="containsText" text="中山">
      <formula>NOT(ISERROR(SEARCH("中山",H21)))</formula>
    </cfRule>
  </conditionalFormatting>
  <conditionalFormatting sqref="J2:J21 Q2:Q21 X2:X21 AE2:AE21">
    <cfRule type="cellIs" dxfId="35" priority="14" operator="between">
      <formula>3</formula>
      <formula>4</formula>
    </cfRule>
    <cfRule type="cellIs" dxfId="34" priority="15" operator="equal">
      <formula>2</formula>
    </cfRule>
    <cfRule type="cellIs" dxfId="33" priority="16" operator="equal">
      <formula>1</formula>
    </cfRule>
  </conditionalFormatting>
  <conditionalFormatting sqref="K2:K21 R2:R21 Y2:Y21 AF2:AF21">
    <cfRule type="cellIs" dxfId="32" priority="13" operator="lessThanOrEqual">
      <formula>0.6</formula>
    </cfRule>
  </conditionalFormatting>
  <conditionalFormatting sqref="O2:O20 V2:V20">
    <cfRule type="containsText" dxfId="31" priority="29" operator="containsText" text="中京">
      <formula>NOT(ISERROR(SEARCH("中京",O2)))</formula>
    </cfRule>
  </conditionalFormatting>
  <conditionalFormatting sqref="AC2:AC20">
    <cfRule type="containsText" dxfId="30" priority="28" operator="containsText" text="中京">
      <formula>NOT(ISERROR(SEARCH("中京",AC2)))</formula>
    </cfRule>
  </conditionalFormatting>
  <conditionalFormatting sqref="AI2:AI21">
    <cfRule type="top10" dxfId="29" priority="12" bottom="1" rank="4"/>
  </conditionalFormatting>
  <conditionalFormatting sqref="AJ2:AJ20">
    <cfRule type="top10" dxfId="28" priority="31" bottom="1" rank="4"/>
  </conditionalFormatting>
  <conditionalFormatting sqref="AJ21">
    <cfRule type="top10" dxfId="27" priority="24" bottom="1" rank="4"/>
  </conditionalFormatting>
  <conditionalFormatting sqref="AK2:AK20">
    <cfRule type="top10" dxfId="26" priority="32" rank="4"/>
  </conditionalFormatting>
  <conditionalFormatting sqref="AK21">
    <cfRule type="top10" dxfId="25" priority="25" rank="4"/>
  </conditionalFormatting>
  <conditionalFormatting sqref="AL23">
    <cfRule type="containsText" dxfId="24" priority="43" operator="containsText" text="逃げ">
      <formula>NOT(ISERROR(SEARCH("逃げ",AL23)))</formula>
    </cfRule>
    <cfRule type="containsText" dxfId="23" priority="44" operator="containsText" text="先行差し">
      <formula>NOT(ISERROR(SEARCH("先行差し",AL23)))</formula>
    </cfRule>
    <cfRule type="containsText" dxfId="22" priority="42" operator="containsText" text="先行">
      <formula>NOT(ISERROR(SEARCH("先行",AL23)))</formula>
    </cfRule>
  </conditionalFormatting>
  <conditionalFormatting sqref="AL2:AN20">
    <cfRule type="top10" dxfId="21" priority="33" rank="4"/>
  </conditionalFormatting>
  <conditionalFormatting sqref="AL21:AN21">
    <cfRule type="top10" dxfId="20" priority="26" rank="4"/>
  </conditionalFormatting>
  <conditionalFormatting sqref="AO2:AO20">
    <cfRule type="top10" dxfId="19" priority="34" rank="4"/>
  </conditionalFormatting>
  <conditionalFormatting sqref="AO21">
    <cfRule type="top10" dxfId="18" priority="27" rank="4"/>
  </conditionalFormatting>
  <conditionalFormatting sqref="AP2:AP21">
    <cfRule type="containsText" dxfId="17" priority="18" operator="containsText" text="先行">
      <formula>NOT(ISERROR(SEARCH("先行",AP2)))</formula>
    </cfRule>
    <cfRule type="containsText" dxfId="16" priority="20" operator="containsText" text="先行差し">
      <formula>NOT(ISERROR(SEARCH("先行差し",AP2)))</formula>
    </cfRule>
    <cfRule type="containsText" dxfId="15" priority="19" operator="containsText" text="逃げ">
      <formula>NOT(ISERROR(SEARCH("逃げ",AP2)))</formula>
    </cfRule>
  </conditionalFormatting>
  <conditionalFormatting sqref="AQ2:AQ9">
    <cfRule type="containsText" dxfId="14" priority="36" operator="containsText" text="先行">
      <formula>NOT(ISERROR(SEARCH("先行",AQ2)))</formula>
    </cfRule>
    <cfRule type="containsText" dxfId="13" priority="37" operator="containsText" text="逃げ">
      <formula>NOT(ISERROR(SEARCH("逃げ",AQ2)))</formula>
    </cfRule>
    <cfRule type="containsText" dxfId="12" priority="38" operator="containsText" text="先行差し">
      <formula>NOT(ISERROR(SEARCH("先行差し",AQ2)))</formula>
    </cfRule>
  </conditionalFormatting>
  <conditionalFormatting sqref="AQ2:AQ21">
    <cfRule type="top10" dxfId="11" priority="35" bottom="1" rank="4"/>
  </conditionalFormatting>
  <conditionalFormatting sqref="AR2:AR21">
    <cfRule type="top10" dxfId="10" priority="10" bottom="1" rank="4"/>
  </conditionalFormatting>
  <conditionalFormatting sqref="AS2:AS21">
    <cfRule type="containsText" dxfId="9" priority="8" operator="containsText" text="先行差し">
      <formula>NOT(ISERROR(SEARCH("先行差し",AS2)))</formula>
    </cfRule>
    <cfRule type="containsText" dxfId="8" priority="7" operator="containsText" text="逃げ">
      <formula>NOT(ISERROR(SEARCH("逃げ",AS2)))</formula>
    </cfRule>
    <cfRule type="containsText" dxfId="7" priority="6" operator="containsText" text="先行">
      <formula>NOT(ISERROR(SEARCH("先行",AS2)))</formula>
    </cfRule>
  </conditionalFormatting>
  <conditionalFormatting sqref="AT2:AT21">
    <cfRule type="cellIs" dxfId="6" priority="11" operator="greaterThanOrEqual">
      <formula>0.6</formula>
    </cfRule>
  </conditionalFormatting>
  <conditionalFormatting sqref="AU2:AU21">
    <cfRule type="top10" dxfId="5" priority="9" bottom="1" rank="4"/>
  </conditionalFormatting>
  <conditionalFormatting sqref="AV2:AV21">
    <cfRule type="top10" dxfId="4" priority="2" bottom="1" rank="4"/>
  </conditionalFormatting>
  <conditionalFormatting sqref="AV2:AX21">
    <cfRule type="containsText" dxfId="3" priority="3" operator="containsText" text="先行">
      <formula>NOT(ISERROR(SEARCH("先行",AV2)))</formula>
    </cfRule>
    <cfRule type="containsText" dxfId="2" priority="4" operator="containsText" text="逃げ">
      <formula>NOT(ISERROR(SEARCH("逃げ",AV2)))</formula>
    </cfRule>
    <cfRule type="containsText" dxfId="1" priority="5" operator="containsText" text="先行差し">
      <formula>NOT(ISERROR(SEARCH("先行差し",AV2)))</formula>
    </cfRule>
  </conditionalFormatting>
  <conditionalFormatting sqref="AX2:AX12">
    <cfRule type="containsText" dxfId="0" priority="1" operator="containsText" text="B">
      <formula>NOT(ISERROR(SEARCH("B",AX2)))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WIN 1</vt:lpstr>
      <vt:lpstr>WIN 2</vt:lpstr>
      <vt:lpstr>WIN 3</vt:lpstr>
      <vt:lpstr>WIN 4</vt:lpstr>
      <vt:lpstr>WIN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 入江</cp:lastModifiedBy>
  <dcterms:created xsi:type="dcterms:W3CDTF">2026-03-25T07:15:18Z</dcterms:created>
  <dcterms:modified xsi:type="dcterms:W3CDTF">2026-07-14T00:58:49Z</dcterms:modified>
</cp:coreProperties>
</file>