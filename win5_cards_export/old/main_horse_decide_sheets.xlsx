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HorseRacing\win5_cards_export\"/>
    </mc:Choice>
  </mc:AlternateContent>
  <xr:revisionPtr revIDLastSave="0" documentId="13_ncr:1_{84026694-4695-4ACF-80A5-B7B848AF21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IN 1" sheetId="1" r:id="rId1"/>
    <sheet name="WIN 2" sheetId="2" r:id="rId2"/>
    <sheet name="WIN 3" sheetId="3" r:id="rId3"/>
    <sheet name="WIN 4" sheetId="4" r:id="rId4"/>
    <sheet name="WIN 5" sheetId="5" r:id="rId5"/>
  </sheets>
  <definedNames>
    <definedName name="_xlnm._FilterDatabase" localSheetId="0" hidden="1">'WIN 1'!$A$1:$AP$1</definedName>
    <definedName name="_xlnm._FilterDatabase" localSheetId="1" hidden="1">'WIN 2'!$A$1:$AP$1</definedName>
    <definedName name="_xlnm._FilterDatabase" localSheetId="2" hidden="1">'WIN 3'!$A$1:$AP$1</definedName>
    <definedName name="_xlnm._FilterDatabase" localSheetId="3" hidden="1">'WIN 4'!$A$1:$AP$1</definedName>
    <definedName name="_xlnm._FilterDatabase" localSheetId="4" hidden="1">'WIN 5'!$A$1:$AP$1</definedName>
  </definedNames>
  <calcPr calcId="191029"/>
</workbook>
</file>

<file path=xl/calcChain.xml><?xml version="1.0" encoding="utf-8"?>
<calcChain xmlns="http://schemas.openxmlformats.org/spreadsheetml/2006/main">
  <c r="AN21" i="5" l="1"/>
  <c r="AM21" i="5"/>
  <c r="AL21" i="5"/>
  <c r="AK21" i="5"/>
  <c r="AO21" i="5" s="1"/>
  <c r="AJ21" i="5"/>
  <c r="AI21" i="5"/>
  <c r="AN21" i="3"/>
  <c r="AM21" i="3"/>
  <c r="AL21" i="3"/>
  <c r="AK21" i="3"/>
  <c r="AO21" i="3" s="1"/>
  <c r="AJ21" i="3"/>
  <c r="AI21" i="3"/>
  <c r="AN20" i="3"/>
  <c r="AM20" i="3"/>
  <c r="AL20" i="3"/>
  <c r="AK20" i="3"/>
  <c r="AO20" i="3" s="1"/>
  <c r="AJ20" i="3"/>
  <c r="AI20" i="3"/>
  <c r="AN19" i="3"/>
  <c r="AO19" i="3" s="1"/>
  <c r="AM19" i="3"/>
  <c r="AL19" i="3"/>
  <c r="AK19" i="3"/>
  <c r="AJ19" i="3"/>
  <c r="AI19" i="3"/>
  <c r="AN18" i="3"/>
  <c r="AM18" i="3"/>
  <c r="AL18" i="3"/>
  <c r="AK18" i="3"/>
  <c r="AO18" i="3" s="1"/>
  <c r="AJ18" i="3"/>
  <c r="AI18" i="3"/>
  <c r="AN17" i="3"/>
  <c r="AM17" i="3"/>
  <c r="AL17" i="3"/>
  <c r="AO17" i="3" s="1"/>
  <c r="AK17" i="3"/>
  <c r="AJ17" i="3"/>
  <c r="AI17" i="3"/>
  <c r="AN16" i="3"/>
  <c r="AM16" i="3"/>
  <c r="AL16" i="3"/>
  <c r="AK16" i="3"/>
  <c r="AO16" i="3" s="1"/>
  <c r="AJ16" i="3"/>
  <c r="AI16" i="3"/>
  <c r="AN21" i="1"/>
  <c r="AM21" i="1"/>
  <c r="AL21" i="1"/>
  <c r="AK21" i="1"/>
  <c r="AO21" i="1" s="1"/>
  <c r="AJ21" i="1"/>
  <c r="AI21" i="1"/>
  <c r="AN21" i="2"/>
  <c r="AM21" i="2"/>
  <c r="AL21" i="2"/>
  <c r="AK21" i="2"/>
  <c r="AO21" i="2" s="1"/>
  <c r="AJ21" i="2"/>
  <c r="AI21" i="2"/>
  <c r="AN20" i="2"/>
  <c r="AM20" i="2"/>
  <c r="AL20" i="2"/>
  <c r="AK20" i="2"/>
  <c r="AO20" i="2" s="1"/>
  <c r="AJ20" i="2"/>
  <c r="AI20" i="2"/>
  <c r="AN19" i="2"/>
  <c r="AM19" i="2"/>
  <c r="AL19" i="2"/>
  <c r="AK19" i="2"/>
  <c r="AO19" i="2" s="1"/>
  <c r="AJ19" i="2"/>
  <c r="AI19" i="2"/>
  <c r="AN18" i="2"/>
  <c r="AM18" i="2"/>
  <c r="AL18" i="2"/>
  <c r="AK18" i="2"/>
  <c r="AO18" i="2" s="1"/>
  <c r="AJ18" i="2"/>
  <c r="AI18" i="2"/>
  <c r="AO17" i="2"/>
  <c r="AN17" i="2"/>
  <c r="AM17" i="2"/>
  <c r="AL17" i="2"/>
  <c r="AK17" i="2"/>
  <c r="AJ17" i="2"/>
  <c r="AI17" i="2"/>
  <c r="AN20" i="1"/>
  <c r="AM20" i="1"/>
  <c r="AL20" i="1"/>
  <c r="AK20" i="1"/>
  <c r="AO20" i="1" s="1"/>
  <c r="AJ20" i="1"/>
  <c r="AI20" i="1"/>
  <c r="AN19" i="1"/>
  <c r="AM19" i="1"/>
  <c r="AL19" i="1"/>
  <c r="AK19" i="1"/>
  <c r="AO19" i="1" s="1"/>
  <c r="AJ19" i="1"/>
  <c r="AI19" i="1"/>
  <c r="AI3" i="5"/>
  <c r="AI16" i="4"/>
  <c r="AJ16" i="4"/>
  <c r="AK16" i="4"/>
  <c r="AL16" i="4"/>
  <c r="AM16" i="4"/>
  <c r="AN16" i="4"/>
  <c r="AI17" i="4"/>
  <c r="AJ17" i="4"/>
  <c r="AK17" i="4"/>
  <c r="AL17" i="4"/>
  <c r="AM17" i="4"/>
  <c r="AN17" i="4"/>
  <c r="AI18" i="4"/>
  <c r="AJ18" i="4"/>
  <c r="AK18" i="4"/>
  <c r="AL18" i="4"/>
  <c r="AM18" i="4"/>
  <c r="AN18" i="4"/>
  <c r="AI19" i="4"/>
  <c r="AJ19" i="4"/>
  <c r="AK19" i="4"/>
  <c r="AL19" i="4"/>
  <c r="AM19" i="4"/>
  <c r="AN19" i="4"/>
  <c r="AI20" i="4"/>
  <c r="AJ20" i="4"/>
  <c r="AK20" i="4"/>
  <c r="AL20" i="4"/>
  <c r="AM20" i="4"/>
  <c r="AN20" i="4"/>
  <c r="AI21" i="4"/>
  <c r="AJ21" i="4"/>
  <c r="AK21" i="4"/>
  <c r="AL21" i="4"/>
  <c r="AM21" i="4"/>
  <c r="AN21" i="4"/>
  <c r="AI16" i="5"/>
  <c r="AJ16" i="5"/>
  <c r="AK16" i="5"/>
  <c r="AL16" i="5"/>
  <c r="AM16" i="5"/>
  <c r="AN16" i="5"/>
  <c r="AI17" i="5"/>
  <c r="AJ17" i="5"/>
  <c r="AK17" i="5"/>
  <c r="AL17" i="5"/>
  <c r="AM17" i="5"/>
  <c r="AN17" i="5"/>
  <c r="AI18" i="5"/>
  <c r="AJ18" i="5"/>
  <c r="AK18" i="5"/>
  <c r="AL18" i="5"/>
  <c r="AM18" i="5"/>
  <c r="AN18" i="5"/>
  <c r="AI19" i="5"/>
  <c r="AJ19" i="5"/>
  <c r="AK19" i="5"/>
  <c r="AL19" i="5"/>
  <c r="AM19" i="5"/>
  <c r="AN19" i="5"/>
  <c r="AI20" i="5"/>
  <c r="AJ20" i="5"/>
  <c r="AK20" i="5"/>
  <c r="AL20" i="5"/>
  <c r="AM20" i="5"/>
  <c r="AN20" i="5"/>
  <c r="AN15" i="5"/>
  <c r="AM15" i="5"/>
  <c r="AL15" i="5"/>
  <c r="AK15" i="5"/>
  <c r="AJ15" i="5"/>
  <c r="AI15" i="5"/>
  <c r="AN14" i="5"/>
  <c r="AM14" i="5"/>
  <c r="AL14" i="5"/>
  <c r="AK14" i="5"/>
  <c r="AJ14" i="5"/>
  <c r="AI14" i="5"/>
  <c r="AN13" i="5"/>
  <c r="AM13" i="5"/>
  <c r="AL13" i="5"/>
  <c r="AK13" i="5"/>
  <c r="AJ13" i="5"/>
  <c r="AI13" i="5"/>
  <c r="AN12" i="5"/>
  <c r="AM12" i="5"/>
  <c r="AL12" i="5"/>
  <c r="AK12" i="5"/>
  <c r="AJ12" i="5"/>
  <c r="AI12" i="5"/>
  <c r="AN11" i="5"/>
  <c r="AM11" i="5"/>
  <c r="AL11" i="5"/>
  <c r="AK11" i="5"/>
  <c r="AJ11" i="5"/>
  <c r="AI11" i="5"/>
  <c r="AN10" i="5"/>
  <c r="AM10" i="5"/>
  <c r="AL10" i="5"/>
  <c r="AK10" i="5"/>
  <c r="AJ10" i="5"/>
  <c r="AI10" i="5"/>
  <c r="AN9" i="5"/>
  <c r="AM9" i="5"/>
  <c r="AL9" i="5"/>
  <c r="AK9" i="5"/>
  <c r="AJ9" i="5"/>
  <c r="AI9" i="5"/>
  <c r="AN8" i="5"/>
  <c r="AM8" i="5"/>
  <c r="AL8" i="5"/>
  <c r="AK8" i="5"/>
  <c r="AJ8" i="5"/>
  <c r="AI8" i="5"/>
  <c r="AN7" i="5"/>
  <c r="AM7" i="5"/>
  <c r="AL7" i="5"/>
  <c r="AK7" i="5"/>
  <c r="AJ7" i="5"/>
  <c r="AI7" i="5"/>
  <c r="AN6" i="5"/>
  <c r="AM6" i="5"/>
  <c r="AL6" i="5"/>
  <c r="AK6" i="5"/>
  <c r="AJ6" i="5"/>
  <c r="AI6" i="5"/>
  <c r="AN5" i="5"/>
  <c r="AM5" i="5"/>
  <c r="AL5" i="5"/>
  <c r="AK5" i="5"/>
  <c r="AJ5" i="5"/>
  <c r="AI5" i="5"/>
  <c r="AN4" i="5"/>
  <c r="AM4" i="5"/>
  <c r="AL4" i="5"/>
  <c r="AK4" i="5"/>
  <c r="AJ4" i="5"/>
  <c r="AI4" i="5"/>
  <c r="AN3" i="5"/>
  <c r="AM3" i="5"/>
  <c r="AL3" i="5"/>
  <c r="AK3" i="5"/>
  <c r="AJ3" i="5"/>
  <c r="AN2" i="5"/>
  <c r="AM2" i="5"/>
  <c r="AL2" i="5"/>
  <c r="AK2" i="5"/>
  <c r="AJ2" i="5"/>
  <c r="AI2" i="5"/>
  <c r="AN15" i="4"/>
  <c r="AM15" i="4"/>
  <c r="AL15" i="4"/>
  <c r="AK15" i="4"/>
  <c r="AJ15" i="4"/>
  <c r="AI15" i="4"/>
  <c r="AN14" i="4"/>
  <c r="AM14" i="4"/>
  <c r="AL14" i="4"/>
  <c r="AK14" i="4"/>
  <c r="AJ14" i="4"/>
  <c r="AI14" i="4"/>
  <c r="AN13" i="4"/>
  <c r="AM13" i="4"/>
  <c r="AL13" i="4"/>
  <c r="AK13" i="4"/>
  <c r="AJ13" i="4"/>
  <c r="AI13" i="4"/>
  <c r="AN12" i="4"/>
  <c r="AM12" i="4"/>
  <c r="AL12" i="4"/>
  <c r="AK12" i="4"/>
  <c r="AJ12" i="4"/>
  <c r="AI12" i="4"/>
  <c r="AN11" i="4"/>
  <c r="AM11" i="4"/>
  <c r="AL11" i="4"/>
  <c r="AK11" i="4"/>
  <c r="AJ11" i="4"/>
  <c r="AI11" i="4"/>
  <c r="AN10" i="4"/>
  <c r="AM10" i="4"/>
  <c r="AL10" i="4"/>
  <c r="AK10" i="4"/>
  <c r="AJ10" i="4"/>
  <c r="AI10" i="4"/>
  <c r="AN9" i="4"/>
  <c r="AM9" i="4"/>
  <c r="AL9" i="4"/>
  <c r="AK9" i="4"/>
  <c r="AJ9" i="4"/>
  <c r="AI9" i="4"/>
  <c r="AN8" i="4"/>
  <c r="AM8" i="4"/>
  <c r="AL8" i="4"/>
  <c r="AK8" i="4"/>
  <c r="AJ8" i="4"/>
  <c r="AI8" i="4"/>
  <c r="AN7" i="4"/>
  <c r="AM7" i="4"/>
  <c r="AL7" i="4"/>
  <c r="AK7" i="4"/>
  <c r="AJ7" i="4"/>
  <c r="AI7" i="4"/>
  <c r="AN6" i="4"/>
  <c r="AM6" i="4"/>
  <c r="AL6" i="4"/>
  <c r="AK6" i="4"/>
  <c r="AJ6" i="4"/>
  <c r="AI6" i="4"/>
  <c r="AN5" i="4"/>
  <c r="AM5" i="4"/>
  <c r="AL5" i="4"/>
  <c r="AK5" i="4"/>
  <c r="AJ5" i="4"/>
  <c r="AI5" i="4"/>
  <c r="AN4" i="4"/>
  <c r="AM4" i="4"/>
  <c r="AL4" i="4"/>
  <c r="AK4" i="4"/>
  <c r="AJ4" i="4"/>
  <c r="AI4" i="4"/>
  <c r="AN3" i="4"/>
  <c r="AM3" i="4"/>
  <c r="AL3" i="4"/>
  <c r="AK3" i="4"/>
  <c r="AJ3" i="4"/>
  <c r="AI3" i="4"/>
  <c r="AN2" i="4"/>
  <c r="AM2" i="4"/>
  <c r="AL2" i="4"/>
  <c r="AK2" i="4"/>
  <c r="AJ2" i="4"/>
  <c r="AI2" i="4"/>
  <c r="AN15" i="3"/>
  <c r="AM15" i="3"/>
  <c r="AL15" i="3"/>
  <c r="AK15" i="3"/>
  <c r="AJ15" i="3"/>
  <c r="AI15" i="3"/>
  <c r="AN14" i="3"/>
  <c r="AM14" i="3"/>
  <c r="AL14" i="3"/>
  <c r="AK14" i="3"/>
  <c r="AJ14" i="3"/>
  <c r="AI14" i="3"/>
  <c r="AN13" i="3"/>
  <c r="AM13" i="3"/>
  <c r="AL13" i="3"/>
  <c r="AK13" i="3"/>
  <c r="AO13" i="3" s="1"/>
  <c r="AJ13" i="3"/>
  <c r="AI13" i="3"/>
  <c r="AN12" i="3"/>
  <c r="AM12" i="3"/>
  <c r="AL12" i="3"/>
  <c r="AK12" i="3"/>
  <c r="AJ12" i="3"/>
  <c r="AI12" i="3"/>
  <c r="AN11" i="3"/>
  <c r="AM11" i="3"/>
  <c r="AL11" i="3"/>
  <c r="AK11" i="3"/>
  <c r="AO11" i="3" s="1"/>
  <c r="AJ11" i="3"/>
  <c r="AI11" i="3"/>
  <c r="AN10" i="3"/>
  <c r="AM10" i="3"/>
  <c r="AL10" i="3"/>
  <c r="AK10" i="3"/>
  <c r="AJ10" i="3"/>
  <c r="AI10" i="3"/>
  <c r="AN9" i="3"/>
  <c r="AM9" i="3"/>
  <c r="AL9" i="3"/>
  <c r="AK9" i="3"/>
  <c r="AO9" i="3" s="1"/>
  <c r="AJ9" i="3"/>
  <c r="AI9" i="3"/>
  <c r="AN8" i="3"/>
  <c r="AM8" i="3"/>
  <c r="AL8" i="3"/>
  <c r="AK8" i="3"/>
  <c r="AJ8" i="3"/>
  <c r="AI8" i="3"/>
  <c r="AN7" i="3"/>
  <c r="AM7" i="3"/>
  <c r="AL7" i="3"/>
  <c r="AK7" i="3"/>
  <c r="AO7" i="3" s="1"/>
  <c r="AJ7" i="3"/>
  <c r="AI7" i="3"/>
  <c r="AN6" i="3"/>
  <c r="AM6" i="3"/>
  <c r="AL6" i="3"/>
  <c r="AK6" i="3"/>
  <c r="AJ6" i="3"/>
  <c r="AI6" i="3"/>
  <c r="AN5" i="3"/>
  <c r="AM5" i="3"/>
  <c r="AL5" i="3"/>
  <c r="AK5" i="3"/>
  <c r="AO5" i="3" s="1"/>
  <c r="AJ5" i="3"/>
  <c r="AI5" i="3"/>
  <c r="AN4" i="3"/>
  <c r="AM4" i="3"/>
  <c r="AL4" i="3"/>
  <c r="AK4" i="3"/>
  <c r="AJ4" i="3"/>
  <c r="AI4" i="3"/>
  <c r="AN3" i="3"/>
  <c r="AM3" i="3"/>
  <c r="AL3" i="3"/>
  <c r="AK3" i="3"/>
  <c r="AO3" i="3" s="1"/>
  <c r="AJ3" i="3"/>
  <c r="AI3" i="3"/>
  <c r="AN2" i="3"/>
  <c r="AM2" i="3"/>
  <c r="AL2" i="3"/>
  <c r="AK2" i="3"/>
  <c r="AJ2" i="3"/>
  <c r="AI2" i="3"/>
  <c r="AN16" i="2"/>
  <c r="AM16" i="2"/>
  <c r="AL16" i="2"/>
  <c r="AK16" i="2"/>
  <c r="AJ16" i="2"/>
  <c r="AI16" i="2"/>
  <c r="AN15" i="2"/>
  <c r="AM15" i="2"/>
  <c r="AL15" i="2"/>
  <c r="AK15" i="2"/>
  <c r="AJ15" i="2"/>
  <c r="AI15" i="2"/>
  <c r="AN14" i="2"/>
  <c r="AM14" i="2"/>
  <c r="AL14" i="2"/>
  <c r="AK14" i="2"/>
  <c r="AJ14" i="2"/>
  <c r="AI14" i="2"/>
  <c r="AN13" i="2"/>
  <c r="AM13" i="2"/>
  <c r="AL13" i="2"/>
  <c r="AK13" i="2"/>
  <c r="AJ13" i="2"/>
  <c r="AI13" i="2"/>
  <c r="AN12" i="2"/>
  <c r="AM12" i="2"/>
  <c r="AL12" i="2"/>
  <c r="AK12" i="2"/>
  <c r="AJ12" i="2"/>
  <c r="AI12" i="2"/>
  <c r="AN11" i="2"/>
  <c r="AM11" i="2"/>
  <c r="AL11" i="2"/>
  <c r="AK11" i="2"/>
  <c r="AJ11" i="2"/>
  <c r="AI11" i="2"/>
  <c r="AN10" i="2"/>
  <c r="AM10" i="2"/>
  <c r="AL10" i="2"/>
  <c r="AK10" i="2"/>
  <c r="AJ10" i="2"/>
  <c r="AI10" i="2"/>
  <c r="AN9" i="2"/>
  <c r="AM9" i="2"/>
  <c r="AL9" i="2"/>
  <c r="AK9" i="2"/>
  <c r="AJ9" i="2"/>
  <c r="AI9" i="2"/>
  <c r="AN8" i="2"/>
  <c r="AM8" i="2"/>
  <c r="AL8" i="2"/>
  <c r="AK8" i="2"/>
  <c r="AJ8" i="2"/>
  <c r="AI8" i="2"/>
  <c r="AN7" i="2"/>
  <c r="AM7" i="2"/>
  <c r="AL7" i="2"/>
  <c r="AK7" i="2"/>
  <c r="AJ7" i="2"/>
  <c r="AI7" i="2"/>
  <c r="AN6" i="2"/>
  <c r="AM6" i="2"/>
  <c r="AL6" i="2"/>
  <c r="AK6" i="2"/>
  <c r="AJ6" i="2"/>
  <c r="AI6" i="2"/>
  <c r="AN5" i="2"/>
  <c r="AM5" i="2"/>
  <c r="AL5" i="2"/>
  <c r="AK5" i="2"/>
  <c r="AJ5" i="2"/>
  <c r="AI5" i="2"/>
  <c r="AN4" i="2"/>
  <c r="AM4" i="2"/>
  <c r="AL4" i="2"/>
  <c r="AK4" i="2"/>
  <c r="AJ4" i="2"/>
  <c r="AI4" i="2"/>
  <c r="AN3" i="2"/>
  <c r="AM3" i="2"/>
  <c r="AL3" i="2"/>
  <c r="AK3" i="2"/>
  <c r="AJ3" i="2"/>
  <c r="AI3" i="2"/>
  <c r="AN2" i="2"/>
  <c r="AM2" i="2"/>
  <c r="AL2" i="2"/>
  <c r="AK2" i="2"/>
  <c r="AJ2" i="2"/>
  <c r="AI2" i="2"/>
  <c r="AI3" i="1"/>
  <c r="AJ3" i="1"/>
  <c r="AK3" i="1"/>
  <c r="AL3" i="1"/>
  <c r="AM3" i="1"/>
  <c r="AN3" i="1"/>
  <c r="AI4" i="1"/>
  <c r="AJ4" i="1"/>
  <c r="AK4" i="1"/>
  <c r="AL4" i="1"/>
  <c r="AM4" i="1"/>
  <c r="AN4" i="1"/>
  <c r="AI5" i="1"/>
  <c r="AJ5" i="1"/>
  <c r="AK5" i="1"/>
  <c r="AL5" i="1"/>
  <c r="AM5" i="1"/>
  <c r="AN5" i="1"/>
  <c r="AI6" i="1"/>
  <c r="AJ6" i="1"/>
  <c r="AK6" i="1"/>
  <c r="AL6" i="1"/>
  <c r="AM6" i="1"/>
  <c r="AN6" i="1"/>
  <c r="AI7" i="1"/>
  <c r="AJ7" i="1"/>
  <c r="AK7" i="1"/>
  <c r="AL7" i="1"/>
  <c r="AM7" i="1"/>
  <c r="AN7" i="1"/>
  <c r="AI8" i="1"/>
  <c r="AJ8" i="1"/>
  <c r="AK8" i="1"/>
  <c r="AL8" i="1"/>
  <c r="AM8" i="1"/>
  <c r="AN8" i="1"/>
  <c r="AI9" i="1"/>
  <c r="AJ9" i="1"/>
  <c r="AK9" i="1"/>
  <c r="AL9" i="1"/>
  <c r="AM9" i="1"/>
  <c r="AN9" i="1"/>
  <c r="AI10" i="1"/>
  <c r="AJ10" i="1"/>
  <c r="AK10" i="1"/>
  <c r="AL10" i="1"/>
  <c r="AM10" i="1"/>
  <c r="AN10" i="1"/>
  <c r="AI11" i="1"/>
  <c r="AJ11" i="1"/>
  <c r="AK11" i="1"/>
  <c r="AL11" i="1"/>
  <c r="AM11" i="1"/>
  <c r="AN11" i="1"/>
  <c r="AI12" i="1"/>
  <c r="AJ12" i="1"/>
  <c r="AK12" i="1"/>
  <c r="AL12" i="1"/>
  <c r="AM12" i="1"/>
  <c r="AN12" i="1"/>
  <c r="AI13" i="1"/>
  <c r="AJ13" i="1"/>
  <c r="AK13" i="1"/>
  <c r="AL13" i="1"/>
  <c r="AM13" i="1"/>
  <c r="AN13" i="1"/>
  <c r="AI14" i="1"/>
  <c r="AJ14" i="1"/>
  <c r="AK14" i="1"/>
  <c r="AL14" i="1"/>
  <c r="AM14" i="1"/>
  <c r="AN14" i="1"/>
  <c r="AI15" i="1"/>
  <c r="AJ15" i="1"/>
  <c r="AK15" i="1"/>
  <c r="AL15" i="1"/>
  <c r="AM15" i="1"/>
  <c r="AN15" i="1"/>
  <c r="AI16" i="1"/>
  <c r="AJ16" i="1"/>
  <c r="AK16" i="1"/>
  <c r="AL16" i="1"/>
  <c r="AM16" i="1"/>
  <c r="AN16" i="1"/>
  <c r="AI17" i="1"/>
  <c r="AJ17" i="1"/>
  <c r="AK17" i="1"/>
  <c r="AL17" i="1"/>
  <c r="AM17" i="1"/>
  <c r="AN17" i="1"/>
  <c r="AI18" i="1"/>
  <c r="AJ18" i="1"/>
  <c r="AK18" i="1"/>
  <c r="AL18" i="1"/>
  <c r="AM18" i="1"/>
  <c r="AN18" i="1"/>
  <c r="AN2" i="1"/>
  <c r="AM2" i="1"/>
  <c r="AL2" i="1"/>
  <c r="AK2" i="1"/>
  <c r="AJ2" i="1"/>
  <c r="AI2" i="1"/>
  <c r="AO15" i="3" l="1"/>
  <c r="AO16" i="1"/>
  <c r="AO12" i="1"/>
  <c r="AO8" i="1"/>
  <c r="AO7" i="1"/>
  <c r="AO5" i="1"/>
  <c r="AO3" i="1"/>
  <c r="AO18" i="1"/>
  <c r="AO10" i="1"/>
  <c r="AO4" i="5"/>
  <c r="AO6" i="5"/>
  <c r="AO8" i="5"/>
  <c r="AO10" i="5"/>
  <c r="AO12" i="5"/>
  <c r="AO14" i="5"/>
  <c r="AO19" i="5"/>
  <c r="AO2" i="5"/>
  <c r="AO18" i="5"/>
  <c r="AO16" i="5"/>
  <c r="AO2" i="4"/>
  <c r="AO4" i="4"/>
  <c r="AO6" i="4"/>
  <c r="AO8" i="4"/>
  <c r="AO10" i="4"/>
  <c r="AO12" i="4"/>
  <c r="AO14" i="4"/>
  <c r="AO20" i="4"/>
  <c r="AO16" i="4"/>
  <c r="AO2" i="2"/>
  <c r="AO4" i="2"/>
  <c r="AO6" i="2"/>
  <c r="AO8" i="2"/>
  <c r="AO10" i="2"/>
  <c r="AO12" i="2"/>
  <c r="AO14" i="2"/>
  <c r="AO16" i="2"/>
  <c r="AO3" i="5"/>
  <c r="AO5" i="5"/>
  <c r="AO7" i="5"/>
  <c r="AO9" i="5"/>
  <c r="AO11" i="5"/>
  <c r="AO13" i="5"/>
  <c r="AO15" i="5"/>
  <c r="AO17" i="5"/>
  <c r="AO20" i="5"/>
  <c r="AO3" i="4"/>
  <c r="AO5" i="4"/>
  <c r="AO7" i="4"/>
  <c r="AO9" i="4"/>
  <c r="AO11" i="4"/>
  <c r="AO13" i="4"/>
  <c r="AO15" i="4"/>
  <c r="AO21" i="4"/>
  <c r="AO17" i="4"/>
  <c r="AO19" i="4"/>
  <c r="AO18" i="4"/>
  <c r="AO3" i="2"/>
  <c r="AO5" i="2"/>
  <c r="AO7" i="2"/>
  <c r="AO9" i="2"/>
  <c r="AO11" i="2"/>
  <c r="AO13" i="2"/>
  <c r="AO15" i="2"/>
  <c r="AO2" i="3"/>
  <c r="AO4" i="3"/>
  <c r="AO6" i="3"/>
  <c r="AO8" i="3"/>
  <c r="AO10" i="3"/>
  <c r="AO12" i="3"/>
  <c r="AO14" i="3"/>
  <c r="AO2" i="1"/>
  <c r="AO17" i="1"/>
  <c r="AO14" i="1"/>
  <c r="AO15" i="1"/>
  <c r="AO13" i="1"/>
  <c r="AO6" i="1"/>
  <c r="AO4" i="1"/>
  <c r="AO11" i="1"/>
  <c r="AO9" i="1"/>
</calcChain>
</file>

<file path=xl/sharedStrings.xml><?xml version="1.0" encoding="utf-8"?>
<sst xmlns="http://schemas.openxmlformats.org/spreadsheetml/2006/main" count="286" uniqueCount="97">
  <si>
    <t>馬番</t>
  </si>
  <si>
    <t>馬名</t>
  </si>
  <si>
    <t>性齢</t>
  </si>
  <si>
    <t>騎手名</t>
  </si>
  <si>
    <t>前走_レース名</t>
  </si>
  <si>
    <t>前走_場所</t>
  </si>
  <si>
    <t>前走_コース</t>
  </si>
  <si>
    <t>前走_着順</t>
  </si>
  <si>
    <t>前走_着差</t>
  </si>
  <si>
    <t>前走_通過順</t>
  </si>
  <si>
    <t>前走_３F</t>
  </si>
  <si>
    <t>2走_レース名</t>
  </si>
  <si>
    <t>2走_場所</t>
  </si>
  <si>
    <t>2走_コース</t>
  </si>
  <si>
    <t>2走_着順</t>
  </si>
  <si>
    <t>2走_着差</t>
  </si>
  <si>
    <t>2走_通過順</t>
  </si>
  <si>
    <t>2走_３F</t>
  </si>
  <si>
    <t>3走_レース名</t>
  </si>
  <si>
    <t>3走_場所</t>
  </si>
  <si>
    <t>3走_コース</t>
  </si>
  <si>
    <t>3走_着順</t>
  </si>
  <si>
    <t>3走_着差</t>
  </si>
  <si>
    <t>3走_通過順</t>
  </si>
  <si>
    <t>3走_３F</t>
  </si>
  <si>
    <t>4走_レース名</t>
  </si>
  <si>
    <t>4走_場所</t>
  </si>
  <si>
    <t>4走_コース</t>
  </si>
  <si>
    <t>4走_着順</t>
  </si>
  <si>
    <t>4走_着差</t>
  </si>
  <si>
    <t>4走_通過順</t>
  </si>
  <si>
    <t>4走_３F</t>
  </si>
  <si>
    <t>予想</t>
    <rPh sb="0" eb="2">
      <t>ヨソウ</t>
    </rPh>
    <phoneticPr fontId="2"/>
  </si>
  <si>
    <t>オッズ</t>
  </si>
  <si>
    <t>最速３F</t>
  </si>
  <si>
    <t>着差合計</t>
  </si>
  <si>
    <t>1着</t>
    <rPh sb="1" eb="2">
      <t>チャク</t>
    </rPh>
    <phoneticPr fontId="2"/>
  </si>
  <si>
    <t>2着</t>
    <rPh sb="1" eb="2">
      <t>チャク</t>
    </rPh>
    <phoneticPr fontId="2"/>
  </si>
  <si>
    <t>3着</t>
    <rPh sb="1" eb="2">
      <t>チャク</t>
    </rPh>
    <phoneticPr fontId="2"/>
  </si>
  <si>
    <t>4着</t>
    <rPh sb="1" eb="2">
      <t>チャク</t>
    </rPh>
    <phoneticPr fontId="2"/>
  </si>
  <si>
    <t>合計</t>
    <rPh sb="0" eb="2">
      <t>ゴウケイ</t>
    </rPh>
    <phoneticPr fontId="2"/>
  </si>
  <si>
    <t>脚質</t>
    <rPh sb="0" eb="2">
      <t>キャクシツ</t>
    </rPh>
    <phoneticPr fontId="2"/>
  </si>
  <si>
    <t>中山</t>
  </si>
  <si>
    <t>京都</t>
  </si>
  <si>
    <t>東京</t>
  </si>
  <si>
    <t>芝1600</t>
  </si>
  <si>
    <t>15-15</t>
  </si>
  <si>
    <t>阪神</t>
  </si>
  <si>
    <t>札幌</t>
  </si>
  <si>
    <t>3-3</t>
  </si>
  <si>
    <t>横山武</t>
  </si>
  <si>
    <t>横山典</t>
  </si>
  <si>
    <t>ダ1800</t>
  </si>
  <si>
    <t>福島</t>
  </si>
  <si>
    <t>牡7栗</t>
  </si>
  <si>
    <t>ダ1600</t>
  </si>
  <si>
    <t>ダ1700</t>
  </si>
  <si>
    <t>ダ2100</t>
  </si>
  <si>
    <t>太秦S</t>
  </si>
  <si>
    <t>牡7黒鹿</t>
  </si>
  <si>
    <t>ダ2000</t>
  </si>
  <si>
    <t>16-16-16-16</t>
  </si>
  <si>
    <t>中山記念</t>
  </si>
  <si>
    <t>芝1800</t>
  </si>
  <si>
    <t>イサ殿下来</t>
  </si>
  <si>
    <t>東京新聞杯</t>
  </si>
  <si>
    <t>ハピ</t>
  </si>
  <si>
    <t>津村明</t>
  </si>
  <si>
    <t>仁川S</t>
  </si>
  <si>
    <t>14-14-14-12</t>
  </si>
  <si>
    <t>プロキオン</t>
  </si>
  <si>
    <t>ベテルギウ</t>
  </si>
  <si>
    <t>15-16-15-13</t>
  </si>
  <si>
    <t>8-8-6-5</t>
  </si>
  <si>
    <t>マテンロウスカイ</t>
  </si>
  <si>
    <t>セ7栗</t>
  </si>
  <si>
    <t>エルムS</t>
  </si>
  <si>
    <t>12-11-8-11</t>
  </si>
  <si>
    <t>マーチS</t>
  </si>
  <si>
    <t>4-4-1-1</t>
  </si>
  <si>
    <t>6-7-8-10</t>
  </si>
  <si>
    <t>ショウナンライシン</t>
  </si>
  <si>
    <t>牡6栗</t>
  </si>
  <si>
    <t>柴田善</t>
  </si>
  <si>
    <t>総武S</t>
  </si>
  <si>
    <t>14-14-14-13</t>
  </si>
  <si>
    <t>師走S</t>
  </si>
  <si>
    <t>6-6-7-5</t>
  </si>
  <si>
    <t>福島民友C</t>
  </si>
  <si>
    <t>13-11-12-8</t>
  </si>
  <si>
    <t>ペルセウス</t>
  </si>
  <si>
    <t>ブレイクフォース</t>
  </si>
  <si>
    <t>12-12-9-8</t>
  </si>
  <si>
    <t>13-13-12-12</t>
  </si>
  <si>
    <t>ブラジルC</t>
  </si>
  <si>
    <t>12-12-12-10</t>
  </si>
  <si>
    <t>14-14-13-12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</si>
</sst>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2" xfId="0" applyFont="1" applyBorder="1"/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8" xfId="0" applyBorder="1" applyAlignment="1">
      <alignment shrinkToFit="1"/>
    </xf>
    <xf numFmtId="0" fontId="0" fillId="0" borderId="9" xfId="0" applyBorder="1" applyAlignment="1">
      <alignment horizontal="center" shrinkToFit="1"/>
    </xf>
    <xf numFmtId="0" fontId="1" fillId="0" borderId="9" xfId="0" applyFont="1" applyBorder="1" applyAlignment="1">
      <alignment horizontal="center" vertical="top" shrinkToFit="1"/>
    </xf>
    <xf numFmtId="0" fontId="4" fillId="0" borderId="10" xfId="0" applyFont="1" applyBorder="1" applyAlignment="1">
      <alignment shrinkToFit="1"/>
    </xf>
    <xf numFmtId="176" fontId="4" fillId="0" borderId="11" xfId="0" applyNumberFormat="1" applyFont="1" applyBorder="1" applyAlignment="1">
      <alignment shrinkToFit="1"/>
    </xf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4" fillId="0" borderId="12" xfId="0" applyFont="1" applyBorder="1" applyAlignment="1">
      <alignment horizontal="center"/>
    </xf>
    <xf numFmtId="0" fontId="0" fillId="0" borderId="12" xfId="0" applyBorder="1" applyAlignment="1">
      <alignment shrinkToFit="1"/>
    </xf>
    <xf numFmtId="0" fontId="0" fillId="0" borderId="5" xfId="0" applyBorder="1" applyAlignment="1">
      <alignment shrinkToFit="1"/>
    </xf>
    <xf numFmtId="0" fontId="3" fillId="0" borderId="0" xfId="0" applyFont="1"/>
    <xf numFmtId="0" fontId="0" fillId="0" borderId="2" xfId="0" applyBorder="1" applyAlignment="1">
      <alignment shrinkToFit="1"/>
    </xf>
  </cellXfs>
  <cellStyles count="1">
    <cellStyle name="標準" xfId="0" builtinId="0"/>
  </cellStyles>
  <dxfs count="165"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</font>
    </dxf>
    <dxf>
      <font>
        <b/>
        <i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00B050"/>
      </font>
    </dxf>
    <dxf>
      <font>
        <b/>
        <i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"/>
  <sheetViews>
    <sheetView tabSelected="1"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3.5" x14ac:dyDescent="0.15"/>
  <cols>
    <col min="1" max="3" width="6" customWidth="1"/>
    <col min="4" max="4" width="16.125" customWidth="1"/>
    <col min="5" max="5" width="8.25" customWidth="1"/>
    <col min="8" max="8" width="6.125" customWidth="1"/>
    <col min="9" max="9" width="10.375" customWidth="1"/>
    <col min="10" max="11" width="5.5" customWidth="1"/>
    <col min="12" max="12" width="6.75" customWidth="1"/>
    <col min="13" max="13" width="6.125" customWidth="1"/>
    <col min="15" max="15" width="6" customWidth="1"/>
    <col min="16" max="16" width="10" customWidth="1"/>
    <col min="17" max="18" width="5.5" customWidth="1"/>
    <col min="19" max="19" width="8.125" customWidth="1"/>
    <col min="20" max="20" width="5.75" customWidth="1"/>
    <col min="22" max="22" width="6" customWidth="1"/>
    <col min="23" max="23" width="9.75" customWidth="1"/>
    <col min="24" max="24" width="4.625" customWidth="1"/>
    <col min="25" max="25" width="6.375" customWidth="1"/>
    <col min="27" max="27" width="6" customWidth="1"/>
    <col min="29" max="29" width="6.25" customWidth="1"/>
    <col min="30" max="30" width="9.875" customWidth="1"/>
    <col min="31" max="31" width="4.375" customWidth="1"/>
    <col min="32" max="32" width="5.375" customWidth="1"/>
    <col min="33" max="33" width="11.625" customWidth="1"/>
    <col min="34" max="34" width="6.125" customWidth="1"/>
    <col min="35" max="35" width="7.5" customWidth="1"/>
    <col min="36" max="36" width="6.25" customWidth="1"/>
    <col min="37" max="40" width="4.875" customWidth="1"/>
    <col min="41" max="41" width="5.875" customWidth="1"/>
    <col min="42" max="42" width="12.5" customWidth="1"/>
  </cols>
  <sheetData>
    <row r="1" spans="1:42" x14ac:dyDescent="0.15">
      <c r="A1" s="3" t="s">
        <v>32</v>
      </c>
      <c r="B1" s="4" t="s">
        <v>0</v>
      </c>
      <c r="C1" s="4" t="s">
        <v>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34</v>
      </c>
      <c r="AJ1" s="7" t="s">
        <v>35</v>
      </c>
      <c r="AK1" s="6" t="s">
        <v>36</v>
      </c>
      <c r="AL1" s="8" t="s">
        <v>37</v>
      </c>
      <c r="AM1" s="8" t="s">
        <v>38</v>
      </c>
      <c r="AN1" s="7" t="s">
        <v>39</v>
      </c>
      <c r="AO1" s="9" t="s">
        <v>40</v>
      </c>
      <c r="AP1" s="10" t="s">
        <v>41</v>
      </c>
    </row>
    <row r="2" spans="1:42" ht="27.75" customHeight="1" x14ac:dyDescent="0.2">
      <c r="A2" s="2"/>
      <c r="B2" s="2"/>
      <c r="C2" s="2"/>
      <c r="D2" s="2"/>
      <c r="E2" s="5"/>
      <c r="F2" s="2"/>
      <c r="G2" s="2"/>
      <c r="H2" s="20"/>
      <c r="I2" s="2"/>
      <c r="J2" s="18"/>
      <c r="K2" s="18"/>
      <c r="L2" s="2"/>
      <c r="M2" s="2"/>
      <c r="N2" s="2"/>
      <c r="O2" s="20"/>
      <c r="P2" s="2"/>
      <c r="Q2" s="18"/>
      <c r="R2" s="18"/>
      <c r="S2" s="2"/>
      <c r="T2" s="2"/>
      <c r="U2" s="2"/>
      <c r="V2" s="20"/>
      <c r="W2" s="2"/>
      <c r="X2" s="18"/>
      <c r="Y2" s="18"/>
      <c r="Z2" s="2"/>
      <c r="AA2" s="2"/>
      <c r="AB2" s="2"/>
      <c r="AC2" s="20"/>
      <c r="AD2" s="2"/>
      <c r="AE2" s="18"/>
      <c r="AF2" s="18"/>
      <c r="AG2" s="2"/>
      <c r="AH2" s="2"/>
      <c r="AI2" s="11">
        <f t="shared" ref="AI2" si="0">MIN(AH2,AA2,T2,M2)</f>
        <v>0</v>
      </c>
      <c r="AJ2" s="12">
        <f t="shared" ref="AJ2" si="1">SUM(K2,R2,Y2,AF2)</f>
        <v>0</v>
      </c>
      <c r="AK2" s="13">
        <f t="shared" ref="AK2" si="2">COUNTIF(AE2,1)+COUNTIF(X2,1)+COUNTIF(Q2,1)+COUNTIF(J2,1)</f>
        <v>0</v>
      </c>
      <c r="AL2" s="14">
        <f t="shared" ref="AL2" si="3">COUNTIF(AE2,2)+COUNTIF(X2,2)+COUNTIF(Q2,2)+COUNTIF(J2,2)</f>
        <v>0</v>
      </c>
      <c r="AM2" s="14">
        <f t="shared" ref="AM2" si="4">COUNTIF(AE2,3)+COUNTIF(X2,3)+COUNTIF(Q2,3)+COUNTIF(J2,3)</f>
        <v>0</v>
      </c>
      <c r="AN2" s="15">
        <f t="shared" ref="AN2" si="5">COUNTIF(AE2,4)+COUNTIF(X2,4)+COUNTIF(Q2,4)+COUNTIF(J2,4)</f>
        <v>0</v>
      </c>
      <c r="AO2" s="16">
        <f t="shared" ref="AO2" si="6">SUM(AK2:AN2)</f>
        <v>0</v>
      </c>
      <c r="AP2" s="17"/>
    </row>
    <row r="3" spans="1:42" ht="27.75" customHeight="1" x14ac:dyDescent="0.2">
      <c r="A3" s="2"/>
      <c r="B3" s="2"/>
      <c r="C3" s="2"/>
      <c r="D3" s="2"/>
      <c r="E3" s="5"/>
      <c r="F3" s="2"/>
      <c r="G3" s="2"/>
      <c r="H3" s="20"/>
      <c r="I3" s="2"/>
      <c r="J3" s="18"/>
      <c r="K3" s="18"/>
      <c r="L3" s="2"/>
      <c r="M3" s="2"/>
      <c r="N3" s="2"/>
      <c r="O3" s="20"/>
      <c r="P3" s="2"/>
      <c r="Q3" s="18"/>
      <c r="R3" s="18"/>
      <c r="S3" s="2"/>
      <c r="T3" s="2"/>
      <c r="U3" s="2"/>
      <c r="V3" s="20"/>
      <c r="W3" s="2"/>
      <c r="X3" s="18"/>
      <c r="Y3" s="18"/>
      <c r="Z3" s="2"/>
      <c r="AA3" s="2"/>
      <c r="AB3" s="2"/>
      <c r="AC3" s="20"/>
      <c r="AD3" s="2"/>
      <c r="AE3" s="18"/>
      <c r="AF3" s="18"/>
      <c r="AG3" s="2"/>
      <c r="AH3" s="2"/>
      <c r="AI3" s="11">
        <f t="shared" ref="AI3:AI18" si="7">MIN(AH3,AA3,T3,M3)</f>
        <v>0</v>
      </c>
      <c r="AJ3" s="12">
        <f t="shared" ref="AJ3:AJ18" si="8">SUM(K3,R3,Y3,AF3)</f>
        <v>0</v>
      </c>
      <c r="AK3" s="13">
        <f t="shared" ref="AK3:AK18" si="9">COUNTIF(AE3,1)+COUNTIF(X3,1)+COUNTIF(Q3,1)+COUNTIF(J3,1)</f>
        <v>0</v>
      </c>
      <c r="AL3" s="14">
        <f t="shared" ref="AL3:AL18" si="10">COUNTIF(AE3,2)+COUNTIF(X3,2)+COUNTIF(Q3,2)+COUNTIF(J3,2)</f>
        <v>0</v>
      </c>
      <c r="AM3" s="14">
        <f t="shared" ref="AM3:AM18" si="11">COUNTIF(AE3,3)+COUNTIF(X3,3)+COUNTIF(Q3,3)+COUNTIF(J3,3)</f>
        <v>0</v>
      </c>
      <c r="AN3" s="15">
        <f t="shared" ref="AN3:AN18" si="12">COUNTIF(AE3,4)+COUNTIF(X3,4)+COUNTIF(Q3,4)+COUNTIF(J3,4)</f>
        <v>0</v>
      </c>
      <c r="AO3" s="16">
        <f t="shared" ref="AO3:AO18" si="13">SUM(AK3:AN3)</f>
        <v>0</v>
      </c>
      <c r="AP3" s="17"/>
    </row>
    <row r="4" spans="1:42" ht="27.75" customHeight="1" x14ac:dyDescent="0.2">
      <c r="A4" s="2"/>
      <c r="B4" s="2"/>
      <c r="C4" s="2"/>
      <c r="D4" s="2"/>
      <c r="E4" s="5"/>
      <c r="F4" s="2"/>
      <c r="G4" s="2"/>
      <c r="H4" s="20"/>
      <c r="I4" s="2"/>
      <c r="J4" s="18"/>
      <c r="K4" s="18"/>
      <c r="L4" s="2"/>
      <c r="M4" s="2"/>
      <c r="N4" s="2"/>
      <c r="O4" s="20"/>
      <c r="P4" s="2"/>
      <c r="Q4" s="18"/>
      <c r="R4" s="18"/>
      <c r="S4" s="2"/>
      <c r="T4" s="2"/>
      <c r="U4" s="2"/>
      <c r="V4" s="20"/>
      <c r="W4" s="2"/>
      <c r="X4" s="18"/>
      <c r="Y4" s="18"/>
      <c r="Z4" s="2"/>
      <c r="AA4" s="2"/>
      <c r="AB4" s="2"/>
      <c r="AC4" s="20"/>
      <c r="AD4" s="2"/>
      <c r="AE4" s="18"/>
      <c r="AF4" s="18"/>
      <c r="AG4" s="2"/>
      <c r="AH4" s="2"/>
      <c r="AI4" s="11">
        <f t="shared" si="7"/>
        <v>0</v>
      </c>
      <c r="AJ4" s="12">
        <f t="shared" si="8"/>
        <v>0</v>
      </c>
      <c r="AK4" s="13">
        <f t="shared" si="9"/>
        <v>0</v>
      </c>
      <c r="AL4" s="14">
        <f t="shared" si="10"/>
        <v>0</v>
      </c>
      <c r="AM4" s="14">
        <f t="shared" si="11"/>
        <v>0</v>
      </c>
      <c r="AN4" s="15">
        <f t="shared" si="12"/>
        <v>0</v>
      </c>
      <c r="AO4" s="16">
        <f t="shared" si="13"/>
        <v>0</v>
      </c>
      <c r="AP4" s="17"/>
    </row>
    <row r="5" spans="1:42" ht="27.75" customHeight="1" x14ac:dyDescent="0.2">
      <c r="A5" s="2"/>
      <c r="B5" s="2"/>
      <c r="C5" s="2"/>
      <c r="D5" s="2"/>
      <c r="E5" s="5"/>
      <c r="F5" s="2"/>
      <c r="G5" s="2"/>
      <c r="H5" s="20"/>
      <c r="I5" s="2"/>
      <c r="J5" s="18"/>
      <c r="K5" s="18"/>
      <c r="L5" s="2"/>
      <c r="M5" s="2"/>
      <c r="N5" s="2"/>
      <c r="O5" s="20"/>
      <c r="P5" s="2"/>
      <c r="Q5" s="18"/>
      <c r="R5" s="18"/>
      <c r="S5" s="2"/>
      <c r="T5" s="2"/>
      <c r="U5" s="2"/>
      <c r="V5" s="20"/>
      <c r="W5" s="2"/>
      <c r="X5" s="18"/>
      <c r="Y5" s="18"/>
      <c r="Z5" s="2"/>
      <c r="AA5" s="2"/>
      <c r="AB5" s="2"/>
      <c r="AC5" s="20"/>
      <c r="AD5" s="2"/>
      <c r="AE5" s="18"/>
      <c r="AF5" s="18"/>
      <c r="AG5" s="2"/>
      <c r="AH5" s="2"/>
      <c r="AI5" s="11">
        <f t="shared" si="7"/>
        <v>0</v>
      </c>
      <c r="AJ5" s="12">
        <f t="shared" si="8"/>
        <v>0</v>
      </c>
      <c r="AK5" s="13">
        <f t="shared" si="9"/>
        <v>0</v>
      </c>
      <c r="AL5" s="14">
        <f t="shared" si="10"/>
        <v>0</v>
      </c>
      <c r="AM5" s="14">
        <f t="shared" si="11"/>
        <v>0</v>
      </c>
      <c r="AN5" s="15">
        <f t="shared" si="12"/>
        <v>0</v>
      </c>
      <c r="AO5" s="16">
        <f t="shared" si="13"/>
        <v>0</v>
      </c>
      <c r="AP5" s="17"/>
    </row>
    <row r="6" spans="1:42" ht="27.75" customHeight="1" x14ac:dyDescent="0.2">
      <c r="A6" s="2"/>
      <c r="B6" s="2"/>
      <c r="C6" s="2"/>
      <c r="D6" s="2"/>
      <c r="E6" s="5"/>
      <c r="F6" s="2"/>
      <c r="G6" s="2"/>
      <c r="H6" s="20"/>
      <c r="I6" s="2"/>
      <c r="J6" s="18"/>
      <c r="K6" s="18"/>
      <c r="L6" s="2"/>
      <c r="M6" s="2"/>
      <c r="N6" s="2"/>
      <c r="O6" s="20"/>
      <c r="P6" s="2"/>
      <c r="Q6" s="18"/>
      <c r="R6" s="18"/>
      <c r="S6" s="2"/>
      <c r="T6" s="2"/>
      <c r="U6" s="2"/>
      <c r="V6" s="20"/>
      <c r="W6" s="2"/>
      <c r="X6" s="18"/>
      <c r="Y6" s="18"/>
      <c r="Z6" s="2"/>
      <c r="AA6" s="2"/>
      <c r="AB6" s="2"/>
      <c r="AC6" s="20"/>
      <c r="AD6" s="2"/>
      <c r="AE6" s="18"/>
      <c r="AF6" s="18"/>
      <c r="AG6" s="2"/>
      <c r="AH6" s="2"/>
      <c r="AI6" s="11">
        <f t="shared" si="7"/>
        <v>0</v>
      </c>
      <c r="AJ6" s="12">
        <f t="shared" si="8"/>
        <v>0</v>
      </c>
      <c r="AK6" s="13">
        <f t="shared" si="9"/>
        <v>0</v>
      </c>
      <c r="AL6" s="14">
        <f t="shared" si="10"/>
        <v>0</v>
      </c>
      <c r="AM6" s="14">
        <f t="shared" si="11"/>
        <v>0</v>
      </c>
      <c r="AN6" s="15">
        <f t="shared" si="12"/>
        <v>0</v>
      </c>
      <c r="AO6" s="16">
        <f t="shared" si="13"/>
        <v>0</v>
      </c>
      <c r="AP6" s="17"/>
    </row>
    <row r="7" spans="1:42" ht="27.75" customHeight="1" x14ac:dyDescent="0.2">
      <c r="A7" s="2"/>
      <c r="B7" s="2"/>
      <c r="C7" s="2"/>
      <c r="D7" s="2"/>
      <c r="E7" s="5"/>
      <c r="F7" s="2"/>
      <c r="G7" s="2"/>
      <c r="H7" s="20"/>
      <c r="I7" s="2"/>
      <c r="J7" s="18"/>
      <c r="K7" s="18"/>
      <c r="L7" s="2"/>
      <c r="M7" s="2"/>
      <c r="N7" s="2"/>
      <c r="O7" s="20"/>
      <c r="P7" s="2"/>
      <c r="Q7" s="18"/>
      <c r="R7" s="18"/>
      <c r="S7" s="2"/>
      <c r="T7" s="2"/>
      <c r="U7" s="2"/>
      <c r="V7" s="20"/>
      <c r="W7" s="2"/>
      <c r="X7" s="18"/>
      <c r="Y7" s="18"/>
      <c r="Z7" s="2"/>
      <c r="AA7" s="2"/>
      <c r="AB7" s="2"/>
      <c r="AC7" s="20"/>
      <c r="AD7" s="2"/>
      <c r="AE7" s="18"/>
      <c r="AF7" s="18"/>
      <c r="AG7" s="2"/>
      <c r="AH7" s="2"/>
      <c r="AI7" s="11">
        <f t="shared" si="7"/>
        <v>0</v>
      </c>
      <c r="AJ7" s="12">
        <f t="shared" si="8"/>
        <v>0</v>
      </c>
      <c r="AK7" s="13">
        <f t="shared" si="9"/>
        <v>0</v>
      </c>
      <c r="AL7" s="14">
        <f t="shared" si="10"/>
        <v>0</v>
      </c>
      <c r="AM7" s="14">
        <f t="shared" si="11"/>
        <v>0</v>
      </c>
      <c r="AN7" s="15">
        <f t="shared" si="12"/>
        <v>0</v>
      </c>
      <c r="AO7" s="16">
        <f t="shared" si="13"/>
        <v>0</v>
      </c>
      <c r="AP7" s="17"/>
    </row>
    <row r="8" spans="1:42" ht="27.75" customHeight="1" x14ac:dyDescent="0.2">
      <c r="A8" s="2"/>
      <c r="B8" s="2"/>
      <c r="C8" s="2"/>
      <c r="D8" s="2"/>
      <c r="E8" s="5"/>
      <c r="F8" s="2"/>
      <c r="G8" s="2"/>
      <c r="H8" s="20"/>
      <c r="I8" s="2"/>
      <c r="J8" s="18"/>
      <c r="K8" s="18"/>
      <c r="L8" s="2"/>
      <c r="M8" s="2"/>
      <c r="N8" s="2"/>
      <c r="O8" s="20"/>
      <c r="P8" s="2"/>
      <c r="Q8" s="18"/>
      <c r="R8" s="18"/>
      <c r="S8" s="2"/>
      <c r="T8" s="2"/>
      <c r="U8" s="2"/>
      <c r="V8" s="20"/>
      <c r="W8" s="2"/>
      <c r="X8" s="18"/>
      <c r="Y8" s="18"/>
      <c r="Z8" s="2"/>
      <c r="AA8" s="2"/>
      <c r="AB8" s="2"/>
      <c r="AC8" s="20"/>
      <c r="AD8" s="2"/>
      <c r="AE8" s="18"/>
      <c r="AF8" s="18"/>
      <c r="AG8" s="2"/>
      <c r="AH8" s="2"/>
      <c r="AI8" s="11">
        <f t="shared" si="7"/>
        <v>0</v>
      </c>
      <c r="AJ8" s="12">
        <f t="shared" si="8"/>
        <v>0</v>
      </c>
      <c r="AK8" s="13">
        <f t="shared" si="9"/>
        <v>0</v>
      </c>
      <c r="AL8" s="14">
        <f t="shared" si="10"/>
        <v>0</v>
      </c>
      <c r="AM8" s="14">
        <f t="shared" si="11"/>
        <v>0</v>
      </c>
      <c r="AN8" s="15">
        <f t="shared" si="12"/>
        <v>0</v>
      </c>
      <c r="AO8" s="16">
        <f t="shared" si="13"/>
        <v>0</v>
      </c>
      <c r="AP8" s="17"/>
    </row>
    <row r="9" spans="1:42" ht="27.75" customHeight="1" x14ac:dyDescent="0.2">
      <c r="A9" s="2"/>
      <c r="B9" s="2"/>
      <c r="C9" s="2"/>
      <c r="D9" s="2"/>
      <c r="E9" s="5"/>
      <c r="F9" s="2"/>
      <c r="G9" s="2"/>
      <c r="H9" s="20"/>
      <c r="I9" s="2"/>
      <c r="J9" s="18"/>
      <c r="K9" s="18"/>
      <c r="L9" s="2"/>
      <c r="M9" s="2"/>
      <c r="N9" s="2"/>
      <c r="O9" s="20"/>
      <c r="P9" s="2"/>
      <c r="Q9" s="18"/>
      <c r="R9" s="18"/>
      <c r="S9" s="2"/>
      <c r="T9" s="2"/>
      <c r="U9" s="2"/>
      <c r="V9" s="20"/>
      <c r="W9" s="2"/>
      <c r="X9" s="18"/>
      <c r="Y9" s="18"/>
      <c r="Z9" s="2"/>
      <c r="AA9" s="2"/>
      <c r="AB9" s="2"/>
      <c r="AC9" s="20"/>
      <c r="AD9" s="2"/>
      <c r="AE9" s="18"/>
      <c r="AF9" s="18"/>
      <c r="AG9" s="2"/>
      <c r="AH9" s="2"/>
      <c r="AI9" s="11">
        <f t="shared" si="7"/>
        <v>0</v>
      </c>
      <c r="AJ9" s="12">
        <f t="shared" si="8"/>
        <v>0</v>
      </c>
      <c r="AK9" s="13">
        <f t="shared" si="9"/>
        <v>0</v>
      </c>
      <c r="AL9" s="14">
        <f t="shared" si="10"/>
        <v>0</v>
      </c>
      <c r="AM9" s="14">
        <f t="shared" si="11"/>
        <v>0</v>
      </c>
      <c r="AN9" s="15">
        <f t="shared" si="12"/>
        <v>0</v>
      </c>
      <c r="AO9" s="16">
        <f t="shared" si="13"/>
        <v>0</v>
      </c>
      <c r="AP9" s="17"/>
    </row>
    <row r="10" spans="1:42" ht="27.75" customHeight="1" x14ac:dyDescent="0.2">
      <c r="A10" s="2"/>
      <c r="B10" s="2"/>
      <c r="C10" s="2"/>
      <c r="D10" s="2"/>
      <c r="E10" s="5"/>
      <c r="F10" s="2"/>
      <c r="G10" s="2"/>
      <c r="H10" s="20"/>
      <c r="I10" s="2"/>
      <c r="J10" s="18"/>
      <c r="K10" s="18"/>
      <c r="L10" s="2"/>
      <c r="M10" s="2"/>
      <c r="N10" s="2"/>
      <c r="O10" s="20"/>
      <c r="P10" s="2"/>
      <c r="Q10" s="18"/>
      <c r="R10" s="18"/>
      <c r="S10" s="2"/>
      <c r="T10" s="2"/>
      <c r="U10" s="2"/>
      <c r="V10" s="20"/>
      <c r="W10" s="2"/>
      <c r="X10" s="18"/>
      <c r="Y10" s="18"/>
      <c r="Z10" s="2"/>
      <c r="AA10" s="2"/>
      <c r="AB10" s="2"/>
      <c r="AC10" s="20"/>
      <c r="AD10" s="2"/>
      <c r="AE10" s="18"/>
      <c r="AF10" s="18"/>
      <c r="AG10" s="2"/>
      <c r="AH10" s="2"/>
      <c r="AI10" s="11">
        <f t="shared" si="7"/>
        <v>0</v>
      </c>
      <c r="AJ10" s="12">
        <f t="shared" si="8"/>
        <v>0</v>
      </c>
      <c r="AK10" s="13">
        <f t="shared" si="9"/>
        <v>0</v>
      </c>
      <c r="AL10" s="14">
        <f t="shared" si="10"/>
        <v>0</v>
      </c>
      <c r="AM10" s="14">
        <f t="shared" si="11"/>
        <v>0</v>
      </c>
      <c r="AN10" s="15">
        <f t="shared" si="12"/>
        <v>0</v>
      </c>
      <c r="AO10" s="16">
        <f t="shared" si="13"/>
        <v>0</v>
      </c>
      <c r="AP10" s="17"/>
    </row>
    <row r="11" spans="1:42" ht="27.75" customHeight="1" x14ac:dyDescent="0.2">
      <c r="A11" s="2"/>
      <c r="B11" s="2"/>
      <c r="C11" s="2"/>
      <c r="D11" s="2"/>
      <c r="E11" s="5"/>
      <c r="F11" s="2"/>
      <c r="G11" s="2"/>
      <c r="H11" s="20"/>
      <c r="I11" s="2"/>
      <c r="J11" s="18"/>
      <c r="K11" s="18"/>
      <c r="L11" s="2"/>
      <c r="M11" s="2"/>
      <c r="N11" s="2"/>
      <c r="O11" s="20"/>
      <c r="P11" s="2"/>
      <c r="Q11" s="18"/>
      <c r="R11" s="18"/>
      <c r="S11" s="2"/>
      <c r="T11" s="2"/>
      <c r="U11" s="2"/>
      <c r="V11" s="20"/>
      <c r="W11" s="2"/>
      <c r="X11" s="18"/>
      <c r="Y11" s="18"/>
      <c r="Z11" s="2"/>
      <c r="AA11" s="2"/>
      <c r="AB11" s="2"/>
      <c r="AC11" s="20"/>
      <c r="AD11" s="2"/>
      <c r="AE11" s="18"/>
      <c r="AF11" s="18"/>
      <c r="AG11" s="2"/>
      <c r="AH11" s="2"/>
      <c r="AI11" s="11">
        <f t="shared" si="7"/>
        <v>0</v>
      </c>
      <c r="AJ11" s="12">
        <f t="shared" si="8"/>
        <v>0</v>
      </c>
      <c r="AK11" s="13">
        <f t="shared" si="9"/>
        <v>0</v>
      </c>
      <c r="AL11" s="14">
        <f t="shared" si="10"/>
        <v>0</v>
      </c>
      <c r="AM11" s="14">
        <f t="shared" si="11"/>
        <v>0</v>
      </c>
      <c r="AN11" s="15">
        <f t="shared" si="12"/>
        <v>0</v>
      </c>
      <c r="AO11" s="16">
        <f t="shared" si="13"/>
        <v>0</v>
      </c>
      <c r="AP11" s="17"/>
    </row>
    <row r="12" spans="1:42" ht="27.75" customHeight="1" x14ac:dyDescent="0.2">
      <c r="A12" s="2"/>
      <c r="B12" s="2"/>
      <c r="C12" s="2"/>
      <c r="D12" s="2"/>
      <c r="E12" s="5"/>
      <c r="F12" s="2"/>
      <c r="G12" s="2"/>
      <c r="H12" s="20"/>
      <c r="I12" s="2"/>
      <c r="J12" s="18"/>
      <c r="K12" s="18"/>
      <c r="L12" s="2"/>
      <c r="M12" s="2"/>
      <c r="N12" s="2"/>
      <c r="O12" s="20"/>
      <c r="P12" s="2"/>
      <c r="Q12" s="18"/>
      <c r="R12" s="18"/>
      <c r="S12" s="2"/>
      <c r="T12" s="2"/>
      <c r="U12" s="2"/>
      <c r="V12" s="20"/>
      <c r="W12" s="2"/>
      <c r="X12" s="18"/>
      <c r="Y12" s="18"/>
      <c r="Z12" s="2"/>
      <c r="AA12" s="2"/>
      <c r="AB12" s="2"/>
      <c r="AC12" s="20"/>
      <c r="AD12" s="2"/>
      <c r="AE12" s="18"/>
      <c r="AF12" s="18"/>
      <c r="AG12" s="2"/>
      <c r="AH12" s="2"/>
      <c r="AI12" s="11">
        <f t="shared" si="7"/>
        <v>0</v>
      </c>
      <c r="AJ12" s="12">
        <f t="shared" si="8"/>
        <v>0</v>
      </c>
      <c r="AK12" s="13">
        <f t="shared" si="9"/>
        <v>0</v>
      </c>
      <c r="AL12" s="14">
        <f t="shared" si="10"/>
        <v>0</v>
      </c>
      <c r="AM12" s="14">
        <f t="shared" si="11"/>
        <v>0</v>
      </c>
      <c r="AN12" s="15">
        <f t="shared" si="12"/>
        <v>0</v>
      </c>
      <c r="AO12" s="16">
        <f t="shared" si="13"/>
        <v>0</v>
      </c>
      <c r="AP12" s="17"/>
    </row>
    <row r="13" spans="1:42" ht="27.75" customHeight="1" x14ac:dyDescent="0.2">
      <c r="A13" s="2"/>
      <c r="B13" s="2"/>
      <c r="C13" s="2"/>
      <c r="D13" s="2"/>
      <c r="E13" s="5"/>
      <c r="F13" s="2"/>
      <c r="G13" s="2"/>
      <c r="H13" s="20"/>
      <c r="I13" s="2"/>
      <c r="J13" s="18"/>
      <c r="K13" s="18"/>
      <c r="L13" s="2"/>
      <c r="M13" s="2"/>
      <c r="N13" s="2"/>
      <c r="O13" s="20"/>
      <c r="P13" s="2"/>
      <c r="Q13" s="18"/>
      <c r="R13" s="18"/>
      <c r="S13" s="2"/>
      <c r="T13" s="2"/>
      <c r="U13" s="2"/>
      <c r="V13" s="20"/>
      <c r="W13" s="2"/>
      <c r="X13" s="18"/>
      <c r="Y13" s="18"/>
      <c r="Z13" s="2"/>
      <c r="AA13" s="2"/>
      <c r="AB13" s="2"/>
      <c r="AC13" s="20"/>
      <c r="AD13" s="2"/>
      <c r="AE13" s="18"/>
      <c r="AF13" s="18"/>
      <c r="AG13" s="2"/>
      <c r="AH13" s="2"/>
      <c r="AI13" s="11">
        <f t="shared" si="7"/>
        <v>0</v>
      </c>
      <c r="AJ13" s="12">
        <f t="shared" si="8"/>
        <v>0</v>
      </c>
      <c r="AK13" s="13">
        <f t="shared" si="9"/>
        <v>0</v>
      </c>
      <c r="AL13" s="14">
        <f t="shared" si="10"/>
        <v>0</v>
      </c>
      <c r="AM13" s="14">
        <f t="shared" si="11"/>
        <v>0</v>
      </c>
      <c r="AN13" s="15">
        <f t="shared" si="12"/>
        <v>0</v>
      </c>
      <c r="AO13" s="16">
        <f t="shared" si="13"/>
        <v>0</v>
      </c>
      <c r="AP13" s="17"/>
    </row>
    <row r="14" spans="1:42" ht="27.75" customHeight="1" x14ac:dyDescent="0.2">
      <c r="A14" s="2"/>
      <c r="B14" s="2"/>
      <c r="C14" s="2"/>
      <c r="D14" s="2"/>
      <c r="E14" s="5"/>
      <c r="F14" s="2"/>
      <c r="G14" s="2"/>
      <c r="H14" s="20"/>
      <c r="I14" s="2"/>
      <c r="J14" s="18"/>
      <c r="K14" s="18"/>
      <c r="L14" s="2"/>
      <c r="M14" s="2"/>
      <c r="N14" s="2"/>
      <c r="O14" s="20"/>
      <c r="P14" s="2"/>
      <c r="Q14" s="18"/>
      <c r="R14" s="18"/>
      <c r="S14" s="2"/>
      <c r="T14" s="2"/>
      <c r="U14" s="2"/>
      <c r="V14" s="20"/>
      <c r="W14" s="2"/>
      <c r="X14" s="18"/>
      <c r="Y14" s="18"/>
      <c r="Z14" s="2"/>
      <c r="AA14" s="2"/>
      <c r="AB14" s="2"/>
      <c r="AC14" s="20"/>
      <c r="AD14" s="2"/>
      <c r="AE14" s="18"/>
      <c r="AF14" s="18"/>
      <c r="AG14" s="2"/>
      <c r="AH14" s="2"/>
      <c r="AI14" s="11">
        <f t="shared" si="7"/>
        <v>0</v>
      </c>
      <c r="AJ14" s="12">
        <f t="shared" si="8"/>
        <v>0</v>
      </c>
      <c r="AK14" s="13">
        <f t="shared" si="9"/>
        <v>0</v>
      </c>
      <c r="AL14" s="14">
        <f t="shared" si="10"/>
        <v>0</v>
      </c>
      <c r="AM14" s="14">
        <f t="shared" si="11"/>
        <v>0</v>
      </c>
      <c r="AN14" s="15">
        <f t="shared" si="12"/>
        <v>0</v>
      </c>
      <c r="AO14" s="16">
        <f t="shared" si="13"/>
        <v>0</v>
      </c>
      <c r="AP14" s="17"/>
    </row>
    <row r="15" spans="1:42" ht="27.75" customHeight="1" x14ac:dyDescent="0.2">
      <c r="A15" s="2"/>
      <c r="B15" s="2"/>
      <c r="C15" s="2"/>
      <c r="D15" s="2"/>
      <c r="E15" s="5"/>
      <c r="F15" s="2"/>
      <c r="G15" s="2"/>
      <c r="H15" s="20"/>
      <c r="I15" s="2"/>
      <c r="J15" s="18"/>
      <c r="K15" s="18"/>
      <c r="L15" s="2"/>
      <c r="M15" s="2"/>
      <c r="N15" s="2"/>
      <c r="O15" s="20"/>
      <c r="P15" s="2"/>
      <c r="Q15" s="18"/>
      <c r="R15" s="18"/>
      <c r="S15" s="2"/>
      <c r="T15" s="2"/>
      <c r="U15" s="2"/>
      <c r="V15" s="20"/>
      <c r="W15" s="2"/>
      <c r="X15" s="18"/>
      <c r="Y15" s="18"/>
      <c r="Z15" s="2"/>
      <c r="AA15" s="2"/>
      <c r="AB15" s="2"/>
      <c r="AC15" s="20"/>
      <c r="AD15" s="2"/>
      <c r="AE15" s="18"/>
      <c r="AF15" s="18"/>
      <c r="AG15" s="2"/>
      <c r="AH15" s="2"/>
      <c r="AI15" s="11">
        <f t="shared" si="7"/>
        <v>0</v>
      </c>
      <c r="AJ15" s="12">
        <f t="shared" si="8"/>
        <v>0</v>
      </c>
      <c r="AK15" s="13">
        <f t="shared" si="9"/>
        <v>0</v>
      </c>
      <c r="AL15" s="14">
        <f t="shared" si="10"/>
        <v>0</v>
      </c>
      <c r="AM15" s="14">
        <f t="shared" si="11"/>
        <v>0</v>
      </c>
      <c r="AN15" s="15">
        <f t="shared" si="12"/>
        <v>0</v>
      </c>
      <c r="AO15" s="16">
        <f t="shared" si="13"/>
        <v>0</v>
      </c>
      <c r="AP15" s="17"/>
    </row>
    <row r="16" spans="1:42" ht="27.75" customHeight="1" x14ac:dyDescent="0.2">
      <c r="A16" s="2"/>
      <c r="B16" s="2"/>
      <c r="C16" s="2"/>
      <c r="D16" s="2"/>
      <c r="E16" s="5"/>
      <c r="F16" s="2"/>
      <c r="G16" s="2"/>
      <c r="H16" s="20"/>
      <c r="I16" s="2"/>
      <c r="J16" s="18"/>
      <c r="K16" s="18"/>
      <c r="L16" s="2"/>
      <c r="M16" s="2"/>
      <c r="N16" s="2"/>
      <c r="O16" s="20"/>
      <c r="P16" s="2"/>
      <c r="Q16" s="18"/>
      <c r="R16" s="18"/>
      <c r="S16" s="2"/>
      <c r="T16" s="2"/>
      <c r="U16" s="2"/>
      <c r="V16" s="20"/>
      <c r="W16" s="2"/>
      <c r="X16" s="18"/>
      <c r="Y16" s="18"/>
      <c r="Z16" s="2"/>
      <c r="AA16" s="2"/>
      <c r="AB16" s="2"/>
      <c r="AC16" s="20"/>
      <c r="AD16" s="2"/>
      <c r="AE16" s="18"/>
      <c r="AF16" s="18"/>
      <c r="AG16" s="2"/>
      <c r="AH16" s="2"/>
      <c r="AI16" s="11">
        <f t="shared" si="7"/>
        <v>0</v>
      </c>
      <c r="AJ16" s="12">
        <f t="shared" si="8"/>
        <v>0</v>
      </c>
      <c r="AK16" s="13">
        <f t="shared" si="9"/>
        <v>0</v>
      </c>
      <c r="AL16" s="14">
        <f t="shared" si="10"/>
        <v>0</v>
      </c>
      <c r="AM16" s="14">
        <f t="shared" si="11"/>
        <v>0</v>
      </c>
      <c r="AN16" s="15">
        <f t="shared" si="12"/>
        <v>0</v>
      </c>
      <c r="AO16" s="16">
        <f t="shared" si="13"/>
        <v>0</v>
      </c>
      <c r="AP16" s="17"/>
    </row>
    <row r="17" spans="1:42" ht="27.75" customHeight="1" x14ac:dyDescent="0.2">
      <c r="A17" s="2"/>
      <c r="B17" s="2"/>
      <c r="C17" s="2"/>
      <c r="D17" s="2"/>
      <c r="E17" s="5"/>
      <c r="F17" s="2"/>
      <c r="G17" s="2"/>
      <c r="H17" s="20"/>
      <c r="I17" s="2"/>
      <c r="J17" s="18"/>
      <c r="K17" s="18"/>
      <c r="L17" s="2"/>
      <c r="M17" s="2"/>
      <c r="N17" s="2"/>
      <c r="O17" s="20"/>
      <c r="P17" s="2"/>
      <c r="Q17" s="18"/>
      <c r="R17" s="18"/>
      <c r="S17" s="2"/>
      <c r="T17" s="2"/>
      <c r="U17" s="2"/>
      <c r="V17" s="20"/>
      <c r="W17" s="2"/>
      <c r="X17" s="18"/>
      <c r="Y17" s="18"/>
      <c r="Z17" s="2"/>
      <c r="AA17" s="2"/>
      <c r="AB17" s="2"/>
      <c r="AC17" s="20"/>
      <c r="AD17" s="2"/>
      <c r="AE17" s="18"/>
      <c r="AF17" s="18"/>
      <c r="AG17" s="2"/>
      <c r="AH17" s="2"/>
      <c r="AI17" s="11">
        <f t="shared" si="7"/>
        <v>0</v>
      </c>
      <c r="AJ17" s="12">
        <f t="shared" si="8"/>
        <v>0</v>
      </c>
      <c r="AK17" s="13">
        <f t="shared" si="9"/>
        <v>0</v>
      </c>
      <c r="AL17" s="14">
        <f t="shared" si="10"/>
        <v>0</v>
      </c>
      <c r="AM17" s="14">
        <f t="shared" si="11"/>
        <v>0</v>
      </c>
      <c r="AN17" s="15">
        <f t="shared" si="12"/>
        <v>0</v>
      </c>
      <c r="AO17" s="16">
        <f t="shared" si="13"/>
        <v>0</v>
      </c>
      <c r="AP17" s="17"/>
    </row>
    <row r="18" spans="1:42" ht="27.75" customHeight="1" x14ac:dyDescent="0.2">
      <c r="A18" s="2"/>
      <c r="B18" s="2"/>
      <c r="C18" s="2"/>
      <c r="D18" s="2"/>
      <c r="E18" s="5"/>
      <c r="F18" s="2"/>
      <c r="G18" s="2"/>
      <c r="H18" s="20"/>
      <c r="I18" s="2"/>
      <c r="J18" s="18"/>
      <c r="K18" s="18"/>
      <c r="L18" s="2"/>
      <c r="M18" s="2"/>
      <c r="N18" s="2"/>
      <c r="O18" s="20"/>
      <c r="P18" s="2"/>
      <c r="Q18" s="18"/>
      <c r="R18" s="18"/>
      <c r="S18" s="2"/>
      <c r="T18" s="2"/>
      <c r="U18" s="2"/>
      <c r="V18" s="20"/>
      <c r="W18" s="2"/>
      <c r="X18" s="18"/>
      <c r="Y18" s="18"/>
      <c r="Z18" s="2"/>
      <c r="AA18" s="2"/>
      <c r="AB18" s="2"/>
      <c r="AC18" s="20"/>
      <c r="AD18" s="2"/>
      <c r="AE18" s="18"/>
      <c r="AF18" s="18"/>
      <c r="AG18" s="2"/>
      <c r="AH18" s="2"/>
      <c r="AI18" s="11">
        <f t="shared" si="7"/>
        <v>0</v>
      </c>
      <c r="AJ18" s="12">
        <f t="shared" si="8"/>
        <v>0</v>
      </c>
      <c r="AK18" s="13">
        <f t="shared" si="9"/>
        <v>0</v>
      </c>
      <c r="AL18" s="14">
        <f t="shared" si="10"/>
        <v>0</v>
      </c>
      <c r="AM18" s="14">
        <f t="shared" si="11"/>
        <v>0</v>
      </c>
      <c r="AN18" s="15">
        <f t="shared" si="12"/>
        <v>0</v>
      </c>
      <c r="AO18" s="16">
        <f t="shared" si="13"/>
        <v>0</v>
      </c>
      <c r="AP18" s="17"/>
    </row>
    <row r="19" spans="1:42" ht="27.75" customHeight="1" x14ac:dyDescent="0.2">
      <c r="A19" s="2"/>
      <c r="B19" s="2"/>
      <c r="C19" s="2"/>
      <c r="D19" s="2"/>
      <c r="E19" s="5"/>
      <c r="F19" s="2"/>
      <c r="G19" s="2"/>
      <c r="H19" s="20"/>
      <c r="I19" s="2"/>
      <c r="J19" s="18"/>
      <c r="K19" s="18"/>
      <c r="L19" s="2"/>
      <c r="M19" s="2"/>
      <c r="N19" s="2"/>
      <c r="O19" s="20"/>
      <c r="P19" s="2"/>
      <c r="Q19" s="18"/>
      <c r="R19" s="18"/>
      <c r="S19" s="2"/>
      <c r="T19" s="2"/>
      <c r="U19" s="2"/>
      <c r="V19" s="20"/>
      <c r="W19" s="2"/>
      <c r="X19" s="18"/>
      <c r="Y19" s="18"/>
      <c r="Z19" s="2"/>
      <c r="AA19" s="2"/>
      <c r="AB19" s="2"/>
      <c r="AC19" s="20"/>
      <c r="AD19" s="2"/>
      <c r="AE19" s="18"/>
      <c r="AF19" s="18"/>
      <c r="AG19" s="2"/>
      <c r="AH19" s="2"/>
      <c r="AI19" s="11">
        <f t="shared" ref="AI19:AI21" si="14">MIN(AH19,AA19,T19,M19)</f>
        <v>0</v>
      </c>
      <c r="AJ19" s="12">
        <f t="shared" ref="AJ19:AJ21" si="15">SUM(K19,R19,Y19,AF19)</f>
        <v>0</v>
      </c>
      <c r="AK19" s="13">
        <f t="shared" ref="AK19:AK21" si="16">COUNTIF(AE19,1)+COUNTIF(X19,1)+COUNTIF(Q19,1)+COUNTIF(J19,1)</f>
        <v>0</v>
      </c>
      <c r="AL19" s="14">
        <f t="shared" ref="AL19:AL21" si="17">COUNTIF(AE19,2)+COUNTIF(X19,2)+COUNTIF(Q19,2)+COUNTIF(J19,2)</f>
        <v>0</v>
      </c>
      <c r="AM19" s="14">
        <f t="shared" ref="AM19:AM21" si="18">COUNTIF(AE19,3)+COUNTIF(X19,3)+COUNTIF(Q19,3)+COUNTIF(J19,3)</f>
        <v>0</v>
      </c>
      <c r="AN19" s="15">
        <f t="shared" ref="AN19:AN21" si="19">COUNTIF(AE19,4)+COUNTIF(X19,4)+COUNTIF(Q19,4)+COUNTIF(J19,4)</f>
        <v>0</v>
      </c>
      <c r="AO19" s="16">
        <f t="shared" ref="AO19:AO21" si="20">SUM(AK19:AN19)</f>
        <v>0</v>
      </c>
      <c r="AP19" s="17"/>
    </row>
    <row r="20" spans="1:42" ht="27.75" customHeight="1" x14ac:dyDescent="0.2">
      <c r="A20" s="2"/>
      <c r="B20" s="2"/>
      <c r="C20" s="2"/>
      <c r="D20" s="2"/>
      <c r="E20" s="5"/>
      <c r="F20" s="2"/>
      <c r="G20" s="2"/>
      <c r="H20" s="20"/>
      <c r="I20" s="2"/>
      <c r="J20" s="18"/>
      <c r="K20" s="18"/>
      <c r="L20" s="2"/>
      <c r="M20" s="2"/>
      <c r="N20" s="2"/>
      <c r="O20" s="20"/>
      <c r="P20" s="2"/>
      <c r="Q20" s="18"/>
      <c r="R20" s="18"/>
      <c r="S20" s="2"/>
      <c r="T20" s="2"/>
      <c r="U20" s="2"/>
      <c r="V20" s="20"/>
      <c r="W20" s="2"/>
      <c r="X20" s="18"/>
      <c r="Y20" s="18"/>
      <c r="Z20" s="2"/>
      <c r="AA20" s="2"/>
      <c r="AB20" s="2"/>
      <c r="AC20" s="20"/>
      <c r="AD20" s="2"/>
      <c r="AE20" s="18"/>
      <c r="AF20" s="18"/>
      <c r="AG20" s="2"/>
      <c r="AH20" s="2"/>
      <c r="AI20" s="11">
        <f t="shared" si="14"/>
        <v>0</v>
      </c>
      <c r="AJ20" s="12">
        <f t="shared" si="15"/>
        <v>0</v>
      </c>
      <c r="AK20" s="13">
        <f t="shared" si="16"/>
        <v>0</v>
      </c>
      <c r="AL20" s="14">
        <f t="shared" si="17"/>
        <v>0</v>
      </c>
      <c r="AM20" s="14">
        <f t="shared" si="18"/>
        <v>0</v>
      </c>
      <c r="AN20" s="15">
        <f t="shared" si="19"/>
        <v>0</v>
      </c>
      <c r="AO20" s="16">
        <f t="shared" si="20"/>
        <v>0</v>
      </c>
      <c r="AP20" s="17"/>
    </row>
    <row r="21" spans="1:42" ht="27.75" customHeight="1" x14ac:dyDescent="0.2">
      <c r="A21" s="2"/>
      <c r="B21" s="2"/>
      <c r="C21" s="2"/>
      <c r="D21" s="2"/>
      <c r="E21" s="5"/>
      <c r="F21" s="2"/>
      <c r="G21" s="2"/>
      <c r="H21" s="20"/>
      <c r="I21" s="2"/>
      <c r="J21" s="18"/>
      <c r="K21" s="18"/>
      <c r="L21" s="2"/>
      <c r="M21" s="2"/>
      <c r="N21" s="2"/>
      <c r="O21" s="20"/>
      <c r="P21" s="2"/>
      <c r="Q21" s="18"/>
      <c r="R21" s="18"/>
      <c r="S21" s="2"/>
      <c r="T21" s="2"/>
      <c r="U21" s="2"/>
      <c r="V21" s="20"/>
      <c r="W21" s="2"/>
      <c r="X21" s="18"/>
      <c r="Y21" s="18"/>
      <c r="Z21" s="2"/>
      <c r="AA21" s="2"/>
      <c r="AB21" s="2"/>
      <c r="AC21" s="20"/>
      <c r="AD21" s="2"/>
      <c r="AE21" s="18"/>
      <c r="AF21" s="18"/>
      <c r="AG21" s="2"/>
      <c r="AH21" s="2"/>
      <c r="AI21" s="11">
        <f t="shared" si="14"/>
        <v>0</v>
      </c>
      <c r="AJ21" s="12">
        <f t="shared" si="15"/>
        <v>0</v>
      </c>
      <c r="AK21" s="13">
        <f t="shared" si="16"/>
        <v>0</v>
      </c>
      <c r="AL21" s="14">
        <f t="shared" si="17"/>
        <v>0</v>
      </c>
      <c r="AM21" s="14">
        <f t="shared" si="18"/>
        <v>0</v>
      </c>
      <c r="AN21" s="15">
        <f t="shared" si="19"/>
        <v>0</v>
      </c>
      <c r="AO21" s="16">
        <f t="shared" si="20"/>
        <v>0</v>
      </c>
      <c r="AP21" s="17"/>
    </row>
  </sheetData>
  <autoFilter ref="A1:AP1" xr:uid="{00000000-0001-0000-0000-000000000000}"/>
  <phoneticPr fontId="2"/>
  <conditionalFormatting sqref="E2:E21">
    <cfRule type="containsText" dxfId="164" priority="17" operator="containsText" text="せん">
      <formula>NOT(ISERROR(SEARCH("せん",E2)))</formula>
    </cfRule>
    <cfRule type="containsText" dxfId="163" priority="18" operator="containsText" text="セ">
      <formula>NOT(ISERROR(SEARCH("セ",E2)))</formula>
    </cfRule>
    <cfRule type="containsText" dxfId="162" priority="19" operator="containsText" text="牝">
      <formula>NOT(ISERROR(SEARCH("牝",E2)))</formula>
    </cfRule>
  </conditionalFormatting>
  <conditionalFormatting sqref="H2:H21 O2:O21 V2:V21 AC2:AC21">
    <cfRule type="containsText" dxfId="161" priority="4" operator="containsText" text="中山">
      <formula>NOT(ISERROR(SEARCH("中山",H2)))</formula>
    </cfRule>
  </conditionalFormatting>
  <conditionalFormatting sqref="J2:J21 Q2:Q21 X2:X21 AE2:AE21">
    <cfRule type="cellIs" dxfId="160" priority="14" operator="between">
      <formula>3</formula>
      <formula>4</formula>
    </cfRule>
    <cfRule type="cellIs" dxfId="159" priority="15" operator="equal">
      <formula>2</formula>
    </cfRule>
    <cfRule type="cellIs" dxfId="158" priority="16" operator="equal">
      <formula>1</formula>
    </cfRule>
  </conditionalFormatting>
  <conditionalFormatting sqref="K2:K21 R2:R21 Y2:Y21 AF2:AF21">
    <cfRule type="cellIs" dxfId="157" priority="13" operator="lessThanOrEqual">
      <formula>0.6</formula>
    </cfRule>
  </conditionalFormatting>
  <conditionalFormatting sqref="AI2:AI21">
    <cfRule type="top10" dxfId="156" priority="12" bottom="1" rank="4"/>
  </conditionalFormatting>
  <conditionalFormatting sqref="AJ2:AJ21">
    <cfRule type="top10" dxfId="155" priority="11" bottom="1" rank="4"/>
  </conditionalFormatting>
  <conditionalFormatting sqref="AK2:AK21">
    <cfRule type="top10" dxfId="154" priority="9" rank="4"/>
  </conditionalFormatting>
  <conditionalFormatting sqref="AL2:AN18">
    <cfRule type="top10" dxfId="153" priority="8" rank="4"/>
  </conditionalFormatting>
  <conditionalFormatting sqref="AO2:AO21">
    <cfRule type="top10" dxfId="152" priority="10" rank="4"/>
  </conditionalFormatting>
  <conditionalFormatting sqref="AP2:AP21">
    <cfRule type="containsText" dxfId="151" priority="5" operator="containsText" text="先行">
      <formula>NOT(ISERROR(SEARCH("先行",AP2)))</formula>
    </cfRule>
    <cfRule type="containsText" dxfId="150" priority="6" operator="containsText" text="逃げ">
      <formula>NOT(ISERROR(SEARCH("逃げ",AP2)))</formula>
    </cfRule>
    <cfRule type="containsText" dxfId="149" priority="7" operator="containsText" text="先行差し">
      <formula>NOT(ISERROR(SEARCH("先行差し",AP2)))</formula>
    </cfRule>
  </conditionalFormatting>
  <conditionalFormatting sqref="AL19:AN19">
    <cfRule type="top10" dxfId="148" priority="3" rank="4"/>
  </conditionalFormatting>
  <conditionalFormatting sqref="AL20:AN20">
    <cfRule type="top10" dxfId="147" priority="2" rank="4"/>
  </conditionalFormatting>
  <conditionalFormatting sqref="AL21:AN21">
    <cfRule type="top10" dxfId="146" priority="1" rank="4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1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21" sqref="A21:XFD21"/>
    </sheetView>
  </sheetViews>
  <sheetFormatPr defaultRowHeight="13.5" x14ac:dyDescent="0.15"/>
  <cols>
    <col min="1" max="3" width="5.875" customWidth="1"/>
    <col min="4" max="4" width="17.25" customWidth="1"/>
    <col min="8" max="8" width="6.125" customWidth="1"/>
    <col min="9" max="9" width="7.375" customWidth="1"/>
    <col min="10" max="11" width="6.125" customWidth="1"/>
    <col min="12" max="12" width="12.25" customWidth="1"/>
    <col min="13" max="13" width="5.75" customWidth="1"/>
    <col min="16" max="16" width="7.875" customWidth="1"/>
    <col min="17" max="18" width="5.25" customWidth="1"/>
    <col min="19" max="19" width="11.5" customWidth="1"/>
    <col min="20" max="20" width="5.875" customWidth="1"/>
    <col min="22" max="22" width="6.5" customWidth="1"/>
    <col min="23" max="23" width="7.25" customWidth="1"/>
    <col min="24" max="25" width="6.375" customWidth="1"/>
    <col min="26" max="26" width="11" customWidth="1"/>
    <col min="27" max="27" width="5.75" customWidth="1"/>
    <col min="29" max="29" width="6" customWidth="1"/>
    <col min="30" max="30" width="7.75" customWidth="1"/>
    <col min="31" max="31" width="4.75" customWidth="1"/>
    <col min="32" max="32" width="5.75" customWidth="1"/>
    <col min="33" max="33" width="11" customWidth="1"/>
    <col min="34" max="34" width="6" customWidth="1"/>
    <col min="35" max="36" width="8" customWidth="1"/>
    <col min="37" max="40" width="5.25" customWidth="1"/>
    <col min="41" max="41" width="7" customWidth="1"/>
    <col min="42" max="42" width="11.875" customWidth="1"/>
  </cols>
  <sheetData>
    <row r="1" spans="1:42" x14ac:dyDescent="0.15">
      <c r="A1" s="3" t="s">
        <v>32</v>
      </c>
      <c r="B1" s="4" t="s">
        <v>0</v>
      </c>
      <c r="C1" s="4" t="s">
        <v>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34</v>
      </c>
      <c r="AJ1" s="7" t="s">
        <v>35</v>
      </c>
      <c r="AK1" s="6" t="s">
        <v>36</v>
      </c>
      <c r="AL1" s="8" t="s">
        <v>37</v>
      </c>
      <c r="AM1" s="8" t="s">
        <v>38</v>
      </c>
      <c r="AN1" s="7" t="s">
        <v>39</v>
      </c>
      <c r="AO1" s="9" t="s">
        <v>40</v>
      </c>
      <c r="AP1" s="10" t="s">
        <v>41</v>
      </c>
    </row>
    <row r="2" spans="1:42" ht="27.75" customHeight="1" x14ac:dyDescent="0.2">
      <c r="A2" s="2"/>
      <c r="B2" s="2"/>
      <c r="C2" s="2"/>
      <c r="D2" s="2"/>
      <c r="E2" s="5"/>
      <c r="F2" s="2"/>
      <c r="G2" s="2"/>
      <c r="H2" s="20"/>
      <c r="I2" s="2"/>
      <c r="J2" s="18"/>
      <c r="K2" s="18"/>
      <c r="L2" s="2"/>
      <c r="M2" s="2"/>
      <c r="N2" s="2"/>
      <c r="O2" s="20"/>
      <c r="P2" s="2"/>
      <c r="Q2" s="18"/>
      <c r="R2" s="18"/>
      <c r="S2" s="2"/>
      <c r="T2" s="2"/>
      <c r="U2" s="2"/>
      <c r="V2" s="20"/>
      <c r="W2" s="2"/>
      <c r="X2" s="18"/>
      <c r="Y2" s="18"/>
      <c r="Z2" s="2"/>
      <c r="AA2" s="2"/>
      <c r="AB2" s="2"/>
      <c r="AC2" s="20"/>
      <c r="AD2" s="2"/>
      <c r="AE2" s="18"/>
      <c r="AF2" s="18"/>
      <c r="AG2" s="2"/>
      <c r="AH2" s="2"/>
      <c r="AI2" s="11">
        <f t="shared" ref="AI2:AI21" si="0">MIN(AH2,AA2,T2,M2)</f>
        <v>0</v>
      </c>
      <c r="AJ2" s="12">
        <f t="shared" ref="AJ2:AJ21" si="1">SUM(K2,R2,Y2,AF2)</f>
        <v>0</v>
      </c>
      <c r="AK2" s="13">
        <f t="shared" ref="AK2:AK21" si="2">COUNTIF(AE2,1)+COUNTIF(X2,1)+COUNTIF(Q2,1)+COUNTIF(J2,1)</f>
        <v>0</v>
      </c>
      <c r="AL2" s="14">
        <f t="shared" ref="AL2:AL21" si="3">COUNTIF(AE2,2)+COUNTIF(X2,2)+COUNTIF(Q2,2)+COUNTIF(J2,2)</f>
        <v>0</v>
      </c>
      <c r="AM2" s="14">
        <f t="shared" ref="AM2:AM21" si="4">COUNTIF(AE2,3)+COUNTIF(X2,3)+COUNTIF(Q2,3)+COUNTIF(J2,3)</f>
        <v>0</v>
      </c>
      <c r="AN2" s="15">
        <f t="shared" ref="AN2:AN21" si="5">COUNTIF(AE2,4)+COUNTIF(X2,4)+COUNTIF(Q2,4)+COUNTIF(J2,4)</f>
        <v>0</v>
      </c>
      <c r="AO2" s="16">
        <f t="shared" ref="AO2:AO21" si="6">SUM(AK2:AN2)</f>
        <v>0</v>
      </c>
      <c r="AP2" s="17"/>
    </row>
    <row r="3" spans="1:42" ht="27.75" customHeight="1" x14ac:dyDescent="0.2">
      <c r="A3" s="2"/>
      <c r="B3" s="2"/>
      <c r="C3" s="2"/>
      <c r="D3" s="2"/>
      <c r="E3" s="5"/>
      <c r="F3" s="2"/>
      <c r="G3" s="2"/>
      <c r="H3" s="20"/>
      <c r="I3" s="2"/>
      <c r="J3" s="18"/>
      <c r="K3" s="18"/>
      <c r="L3" s="2"/>
      <c r="M3" s="2"/>
      <c r="N3" s="2"/>
      <c r="O3" s="20"/>
      <c r="P3" s="2"/>
      <c r="Q3" s="18"/>
      <c r="R3" s="18"/>
      <c r="S3" s="2"/>
      <c r="T3" s="2"/>
      <c r="U3" s="2"/>
      <c r="V3" s="20"/>
      <c r="W3" s="2"/>
      <c r="X3" s="18"/>
      <c r="Y3" s="18"/>
      <c r="Z3" s="2"/>
      <c r="AA3" s="2"/>
      <c r="AB3" s="2"/>
      <c r="AC3" s="20"/>
      <c r="AD3" s="2"/>
      <c r="AE3" s="18"/>
      <c r="AF3" s="18"/>
      <c r="AG3" s="2"/>
      <c r="AH3" s="2"/>
      <c r="AI3" s="11">
        <f t="shared" si="0"/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</row>
    <row r="4" spans="1:42" ht="27.75" customHeight="1" x14ac:dyDescent="0.2">
      <c r="A4" s="2"/>
      <c r="B4" s="2"/>
      <c r="C4" s="2"/>
      <c r="D4" s="2"/>
      <c r="E4" s="5"/>
      <c r="F4" s="2"/>
      <c r="G4" s="2"/>
      <c r="H4" s="20"/>
      <c r="I4" s="2"/>
      <c r="J4" s="18"/>
      <c r="K4" s="18"/>
      <c r="L4" s="2"/>
      <c r="M4" s="2"/>
      <c r="N4" s="2"/>
      <c r="O4" s="20"/>
      <c r="P4" s="2"/>
      <c r="Q4" s="18"/>
      <c r="R4" s="18"/>
      <c r="S4" s="2"/>
      <c r="T4" s="2"/>
      <c r="U4" s="2"/>
      <c r="V4" s="20"/>
      <c r="W4" s="2"/>
      <c r="X4" s="18"/>
      <c r="Y4" s="18"/>
      <c r="Z4" s="2"/>
      <c r="AA4" s="2"/>
      <c r="AB4" s="2"/>
      <c r="AC4" s="20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</row>
    <row r="5" spans="1:42" ht="27.75" customHeight="1" x14ac:dyDescent="0.2">
      <c r="A5" s="2"/>
      <c r="B5" s="2"/>
      <c r="C5" s="2"/>
      <c r="D5" s="2"/>
      <c r="E5" s="5"/>
      <c r="F5" s="2"/>
      <c r="G5" s="2"/>
      <c r="H5" s="20"/>
      <c r="I5" s="2"/>
      <c r="J5" s="18"/>
      <c r="K5" s="18"/>
      <c r="L5" s="2"/>
      <c r="M5" s="2"/>
      <c r="N5" s="2"/>
      <c r="O5" s="20"/>
      <c r="P5" s="2"/>
      <c r="Q5" s="18"/>
      <c r="R5" s="18"/>
      <c r="S5" s="2"/>
      <c r="T5" s="2"/>
      <c r="U5" s="2"/>
      <c r="V5" s="20"/>
      <c r="W5" s="2"/>
      <c r="X5" s="18"/>
      <c r="Y5" s="18"/>
      <c r="Z5" s="2"/>
      <c r="AA5" s="2"/>
      <c r="AB5" s="2"/>
      <c r="AC5" s="20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</row>
    <row r="6" spans="1:42" ht="27.75" customHeight="1" x14ac:dyDescent="0.2">
      <c r="A6" s="2"/>
      <c r="B6" s="2"/>
      <c r="C6" s="2"/>
      <c r="D6" s="2"/>
      <c r="E6" s="5"/>
      <c r="F6" s="2"/>
      <c r="G6" s="2"/>
      <c r="H6" s="20"/>
      <c r="I6" s="2"/>
      <c r="J6" s="18"/>
      <c r="K6" s="18"/>
      <c r="L6" s="2"/>
      <c r="M6" s="2"/>
      <c r="N6" s="2"/>
      <c r="O6" s="20"/>
      <c r="P6" s="2"/>
      <c r="Q6" s="18"/>
      <c r="R6" s="18"/>
      <c r="S6" s="2"/>
      <c r="T6" s="2"/>
      <c r="U6" s="2"/>
      <c r="V6" s="20"/>
      <c r="W6" s="2"/>
      <c r="X6" s="18"/>
      <c r="Y6" s="18"/>
      <c r="Z6" s="2"/>
      <c r="AA6" s="2"/>
      <c r="AB6" s="2"/>
      <c r="AC6" s="20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</row>
    <row r="7" spans="1:42" ht="27.75" customHeight="1" x14ac:dyDescent="0.2">
      <c r="A7" s="2"/>
      <c r="B7" s="2"/>
      <c r="C7" s="2"/>
      <c r="D7" s="2"/>
      <c r="E7" s="5"/>
      <c r="F7" s="2"/>
      <c r="G7" s="2"/>
      <c r="H7" s="20"/>
      <c r="I7" s="2"/>
      <c r="J7" s="18"/>
      <c r="K7" s="18"/>
      <c r="L7" s="2"/>
      <c r="M7" s="2"/>
      <c r="N7" s="2"/>
      <c r="O7" s="20"/>
      <c r="P7" s="2"/>
      <c r="Q7" s="18"/>
      <c r="R7" s="18"/>
      <c r="S7" s="2"/>
      <c r="T7" s="2"/>
      <c r="U7" s="2"/>
      <c r="V7" s="20"/>
      <c r="W7" s="2"/>
      <c r="X7" s="18"/>
      <c r="Y7" s="18"/>
      <c r="Z7" s="2"/>
      <c r="AA7" s="2"/>
      <c r="AB7" s="2"/>
      <c r="AC7" s="20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</row>
    <row r="8" spans="1:42" ht="27.75" customHeight="1" x14ac:dyDescent="0.2">
      <c r="A8" s="2"/>
      <c r="B8" s="2"/>
      <c r="C8" s="2"/>
      <c r="D8" s="2"/>
      <c r="E8" s="5"/>
      <c r="F8" s="2"/>
      <c r="G8" s="2"/>
      <c r="H8" s="20"/>
      <c r="I8" s="2"/>
      <c r="J8" s="18"/>
      <c r="K8" s="18"/>
      <c r="L8" s="2"/>
      <c r="M8" s="2"/>
      <c r="N8" s="2"/>
      <c r="O8" s="20"/>
      <c r="P8" s="2"/>
      <c r="Q8" s="18"/>
      <c r="R8" s="18"/>
      <c r="S8" s="2"/>
      <c r="T8" s="2"/>
      <c r="U8" s="2"/>
      <c r="V8" s="20"/>
      <c r="W8" s="2"/>
      <c r="X8" s="18"/>
      <c r="Y8" s="18"/>
      <c r="Z8" s="2"/>
      <c r="AA8" s="2"/>
      <c r="AB8" s="2"/>
      <c r="AC8" s="20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</row>
    <row r="9" spans="1:42" ht="27.75" customHeight="1" x14ac:dyDescent="0.2">
      <c r="A9" s="2"/>
      <c r="B9" s="2"/>
      <c r="C9" s="2"/>
      <c r="D9" s="2"/>
      <c r="E9" s="5"/>
      <c r="F9" s="2"/>
      <c r="G9" s="2"/>
      <c r="H9" s="20"/>
      <c r="I9" s="2"/>
      <c r="J9" s="18"/>
      <c r="K9" s="18"/>
      <c r="L9" s="2"/>
      <c r="M9" s="2"/>
      <c r="N9" s="2"/>
      <c r="O9" s="20"/>
      <c r="P9" s="2"/>
      <c r="Q9" s="18"/>
      <c r="R9" s="18"/>
      <c r="S9" s="2"/>
      <c r="T9" s="2"/>
      <c r="U9" s="2"/>
      <c r="V9" s="20"/>
      <c r="W9" s="2"/>
      <c r="X9" s="18"/>
      <c r="Y9" s="18"/>
      <c r="Z9" s="2"/>
      <c r="AA9" s="2"/>
      <c r="AB9" s="2"/>
      <c r="AC9" s="20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</row>
    <row r="10" spans="1:42" ht="27.75" customHeight="1" x14ac:dyDescent="0.2">
      <c r="A10" s="2"/>
      <c r="B10" s="2"/>
      <c r="C10" s="2"/>
      <c r="D10" s="2"/>
      <c r="E10" s="5"/>
      <c r="F10" s="2"/>
      <c r="G10" s="2"/>
      <c r="H10" s="20"/>
      <c r="I10" s="2"/>
      <c r="J10" s="18"/>
      <c r="K10" s="18"/>
      <c r="L10" s="2"/>
      <c r="M10" s="2"/>
      <c r="N10" s="2"/>
      <c r="O10" s="20"/>
      <c r="P10" s="2"/>
      <c r="Q10" s="18"/>
      <c r="R10" s="18"/>
      <c r="S10" s="2"/>
      <c r="T10" s="2"/>
      <c r="U10" s="2"/>
      <c r="V10" s="20"/>
      <c r="W10" s="2"/>
      <c r="X10" s="18"/>
      <c r="Y10" s="18"/>
      <c r="Z10" s="2"/>
      <c r="AA10" s="2"/>
      <c r="AB10" s="2"/>
      <c r="AC10" s="20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</row>
    <row r="11" spans="1:42" ht="27.75" customHeight="1" x14ac:dyDescent="0.2">
      <c r="A11" s="2"/>
      <c r="B11" s="2"/>
      <c r="C11" s="2"/>
      <c r="D11" s="2"/>
      <c r="E11" s="5"/>
      <c r="F11" s="2"/>
      <c r="G11" s="2"/>
      <c r="H11" s="20"/>
      <c r="I11" s="2"/>
      <c r="J11" s="18"/>
      <c r="K11" s="18"/>
      <c r="L11" s="2"/>
      <c r="M11" s="2"/>
      <c r="N11" s="2"/>
      <c r="O11" s="20"/>
      <c r="P11" s="2"/>
      <c r="Q11" s="18"/>
      <c r="R11" s="18"/>
      <c r="S11" s="2"/>
      <c r="T11" s="2"/>
      <c r="U11" s="2"/>
      <c r="V11" s="20"/>
      <c r="W11" s="2"/>
      <c r="X11" s="18"/>
      <c r="Y11" s="18"/>
      <c r="Z11" s="2"/>
      <c r="AA11" s="2"/>
      <c r="AB11" s="2"/>
      <c r="AC11" s="20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</row>
    <row r="12" spans="1:42" ht="27.75" customHeight="1" x14ac:dyDescent="0.2">
      <c r="A12" s="2"/>
      <c r="B12" s="2"/>
      <c r="C12" s="2"/>
      <c r="D12" s="2"/>
      <c r="E12" s="5"/>
      <c r="F12" s="2"/>
      <c r="G12" s="2"/>
      <c r="H12" s="20"/>
      <c r="I12" s="2"/>
      <c r="J12" s="18"/>
      <c r="K12" s="18"/>
      <c r="L12" s="2"/>
      <c r="M12" s="2"/>
      <c r="N12" s="2"/>
      <c r="O12" s="20"/>
      <c r="P12" s="2"/>
      <c r="Q12" s="18"/>
      <c r="R12" s="18"/>
      <c r="S12" s="2"/>
      <c r="T12" s="2"/>
      <c r="U12" s="2"/>
      <c r="V12" s="20"/>
      <c r="W12" s="2"/>
      <c r="X12" s="18"/>
      <c r="Y12" s="18"/>
      <c r="Z12" s="2"/>
      <c r="AA12" s="2"/>
      <c r="AB12" s="2"/>
      <c r="AC12" s="20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</row>
    <row r="13" spans="1:42" ht="27.75" customHeight="1" x14ac:dyDescent="0.2">
      <c r="A13" s="2"/>
      <c r="B13" s="2"/>
      <c r="C13" s="2"/>
      <c r="D13" s="2"/>
      <c r="E13" s="5"/>
      <c r="F13" s="2"/>
      <c r="G13" s="2"/>
      <c r="H13" s="20"/>
      <c r="I13" s="2"/>
      <c r="J13" s="18"/>
      <c r="K13" s="18"/>
      <c r="L13" s="2"/>
      <c r="M13" s="2"/>
      <c r="N13" s="2"/>
      <c r="O13" s="20"/>
      <c r="P13" s="2"/>
      <c r="Q13" s="18"/>
      <c r="R13" s="18"/>
      <c r="S13" s="2"/>
      <c r="T13" s="2"/>
      <c r="U13" s="2"/>
      <c r="V13" s="20"/>
      <c r="W13" s="2"/>
      <c r="X13" s="18"/>
      <c r="Y13" s="18"/>
      <c r="Z13" s="2"/>
      <c r="AA13" s="2"/>
      <c r="AB13" s="2"/>
      <c r="AC13" s="20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</row>
    <row r="14" spans="1:42" ht="27.75" customHeight="1" x14ac:dyDescent="0.2">
      <c r="A14" s="2"/>
      <c r="B14" s="2"/>
      <c r="C14" s="2"/>
      <c r="D14" s="2"/>
      <c r="E14" s="5"/>
      <c r="F14" s="2"/>
      <c r="G14" s="2"/>
      <c r="H14" s="20"/>
      <c r="I14" s="2"/>
      <c r="J14" s="18"/>
      <c r="K14" s="18"/>
      <c r="L14" s="2"/>
      <c r="M14" s="2"/>
      <c r="N14" s="2"/>
      <c r="O14" s="20"/>
      <c r="P14" s="2"/>
      <c r="Q14" s="18"/>
      <c r="R14" s="18"/>
      <c r="S14" s="2"/>
      <c r="T14" s="2"/>
      <c r="U14" s="2"/>
      <c r="V14" s="20"/>
      <c r="W14" s="2"/>
      <c r="X14" s="18"/>
      <c r="Y14" s="18"/>
      <c r="Z14" s="2"/>
      <c r="AA14" s="2"/>
      <c r="AB14" s="2"/>
      <c r="AC14" s="20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</row>
    <row r="15" spans="1:42" ht="27.75" customHeight="1" x14ac:dyDescent="0.2">
      <c r="A15" s="2"/>
      <c r="B15" s="2"/>
      <c r="C15" s="2"/>
      <c r="D15" s="2"/>
      <c r="E15" s="5"/>
      <c r="F15" s="2"/>
      <c r="G15" s="2"/>
      <c r="H15" s="20"/>
      <c r="I15" s="2"/>
      <c r="J15" s="18"/>
      <c r="K15" s="18"/>
      <c r="L15" s="2"/>
      <c r="M15" s="2"/>
      <c r="N15" s="2"/>
      <c r="O15" s="20"/>
      <c r="P15" s="2"/>
      <c r="Q15" s="18"/>
      <c r="R15" s="18"/>
      <c r="S15" s="2"/>
      <c r="T15" s="2"/>
      <c r="U15" s="2"/>
      <c r="V15" s="20"/>
      <c r="W15" s="2"/>
      <c r="X15" s="18"/>
      <c r="Y15" s="18"/>
      <c r="Z15" s="2"/>
      <c r="AA15" s="2"/>
      <c r="AB15" s="2"/>
      <c r="AC15" s="20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</row>
    <row r="16" spans="1:42" ht="27.75" customHeight="1" x14ac:dyDescent="0.2">
      <c r="A16" s="2"/>
      <c r="B16" s="2"/>
      <c r="C16" s="2"/>
      <c r="D16" s="2"/>
      <c r="E16" s="5"/>
      <c r="F16" s="2"/>
      <c r="G16" s="2"/>
      <c r="H16" s="20"/>
      <c r="I16" s="2"/>
      <c r="J16" s="18"/>
      <c r="K16" s="18"/>
      <c r="L16" s="2"/>
      <c r="M16" s="2"/>
      <c r="N16" s="2"/>
      <c r="O16" s="20"/>
      <c r="P16" s="2"/>
      <c r="Q16" s="18"/>
      <c r="R16" s="18"/>
      <c r="S16" s="2"/>
      <c r="T16" s="2"/>
      <c r="U16" s="2"/>
      <c r="V16" s="20"/>
      <c r="W16" s="2"/>
      <c r="X16" s="18"/>
      <c r="Y16" s="18"/>
      <c r="Z16" s="2"/>
      <c r="AA16" s="2"/>
      <c r="AB16" s="2"/>
      <c r="AC16" s="20"/>
      <c r="AD16" s="2"/>
      <c r="AE16" s="18"/>
      <c r="AF16" s="18"/>
      <c r="AG16" s="2"/>
      <c r="AH16" s="2"/>
      <c r="AI16" s="11">
        <f t="shared" si="0"/>
        <v>0</v>
      </c>
      <c r="AJ16" s="12">
        <f t="shared" si="1"/>
        <v>0</v>
      </c>
      <c r="AK16" s="13">
        <f t="shared" si="2"/>
        <v>0</v>
      </c>
      <c r="AL16" s="14">
        <f t="shared" si="3"/>
        <v>0</v>
      </c>
      <c r="AM16" s="14">
        <f t="shared" si="4"/>
        <v>0</v>
      </c>
      <c r="AN16" s="15">
        <f t="shared" si="5"/>
        <v>0</v>
      </c>
      <c r="AO16" s="16">
        <f t="shared" si="6"/>
        <v>0</v>
      </c>
      <c r="AP16" s="17"/>
    </row>
    <row r="17" spans="1:42" ht="27.75" customHeight="1" x14ac:dyDescent="0.2">
      <c r="A17" s="2"/>
      <c r="B17" s="2"/>
      <c r="C17" s="2"/>
      <c r="D17" s="2"/>
      <c r="E17" s="5"/>
      <c r="F17" s="2"/>
      <c r="G17" s="2"/>
      <c r="H17" s="20"/>
      <c r="I17" s="2"/>
      <c r="J17" s="18"/>
      <c r="K17" s="18"/>
      <c r="L17" s="2"/>
      <c r="M17" s="2"/>
      <c r="N17" s="2"/>
      <c r="O17" s="20"/>
      <c r="P17" s="2"/>
      <c r="Q17" s="18"/>
      <c r="R17" s="18"/>
      <c r="S17" s="2"/>
      <c r="T17" s="2"/>
      <c r="U17" s="2"/>
      <c r="V17" s="20"/>
      <c r="W17" s="2"/>
      <c r="X17" s="18"/>
      <c r="Y17" s="18"/>
      <c r="Z17" s="2"/>
      <c r="AA17" s="2"/>
      <c r="AB17" s="2"/>
      <c r="AC17" s="20"/>
      <c r="AD17" s="2"/>
      <c r="AE17" s="18"/>
      <c r="AF17" s="18"/>
      <c r="AG17" s="2"/>
      <c r="AH17" s="2"/>
      <c r="AI17" s="11">
        <f t="shared" si="0"/>
        <v>0</v>
      </c>
      <c r="AJ17" s="12">
        <f t="shared" si="1"/>
        <v>0</v>
      </c>
      <c r="AK17" s="13">
        <f t="shared" si="2"/>
        <v>0</v>
      </c>
      <c r="AL17" s="14">
        <f t="shared" si="3"/>
        <v>0</v>
      </c>
      <c r="AM17" s="14">
        <f t="shared" si="4"/>
        <v>0</v>
      </c>
      <c r="AN17" s="15">
        <f t="shared" si="5"/>
        <v>0</v>
      </c>
      <c r="AO17" s="16">
        <f t="shared" si="6"/>
        <v>0</v>
      </c>
      <c r="AP17" s="17"/>
    </row>
    <row r="18" spans="1:42" ht="27.75" customHeight="1" x14ac:dyDescent="0.2">
      <c r="A18" s="2"/>
      <c r="B18" s="2"/>
      <c r="C18" s="2"/>
      <c r="D18" s="2"/>
      <c r="E18" s="5"/>
      <c r="F18" s="2"/>
      <c r="G18" s="2"/>
      <c r="H18" s="20"/>
      <c r="I18" s="2"/>
      <c r="J18" s="18"/>
      <c r="K18" s="18"/>
      <c r="L18" s="2"/>
      <c r="M18" s="2"/>
      <c r="N18" s="2"/>
      <c r="O18" s="20"/>
      <c r="P18" s="2"/>
      <c r="Q18" s="18"/>
      <c r="R18" s="18"/>
      <c r="S18" s="2"/>
      <c r="T18" s="2"/>
      <c r="U18" s="2"/>
      <c r="V18" s="20"/>
      <c r="W18" s="2"/>
      <c r="X18" s="18"/>
      <c r="Y18" s="18"/>
      <c r="Z18" s="2"/>
      <c r="AA18" s="2"/>
      <c r="AB18" s="2"/>
      <c r="AC18" s="20"/>
      <c r="AD18" s="2"/>
      <c r="AE18" s="18"/>
      <c r="AF18" s="18"/>
      <c r="AG18" s="2"/>
      <c r="AH18" s="2"/>
      <c r="AI18" s="11">
        <f t="shared" si="0"/>
        <v>0</v>
      </c>
      <c r="AJ18" s="12">
        <f t="shared" si="1"/>
        <v>0</v>
      </c>
      <c r="AK18" s="13">
        <f t="shared" si="2"/>
        <v>0</v>
      </c>
      <c r="AL18" s="14">
        <f t="shared" si="3"/>
        <v>0</v>
      </c>
      <c r="AM18" s="14">
        <f t="shared" si="4"/>
        <v>0</v>
      </c>
      <c r="AN18" s="15">
        <f t="shared" si="5"/>
        <v>0</v>
      </c>
      <c r="AO18" s="16">
        <f t="shared" si="6"/>
        <v>0</v>
      </c>
      <c r="AP18" s="17"/>
    </row>
    <row r="19" spans="1:42" ht="27.75" customHeight="1" x14ac:dyDescent="0.2">
      <c r="A19" s="2"/>
      <c r="B19" s="2"/>
      <c r="C19" s="2"/>
      <c r="D19" s="2"/>
      <c r="E19" s="5"/>
      <c r="F19" s="2"/>
      <c r="G19" s="2"/>
      <c r="H19" s="20"/>
      <c r="I19" s="2"/>
      <c r="J19" s="18"/>
      <c r="K19" s="18"/>
      <c r="L19" s="2"/>
      <c r="M19" s="2"/>
      <c r="N19" s="2"/>
      <c r="O19" s="20"/>
      <c r="P19" s="2"/>
      <c r="Q19" s="18"/>
      <c r="R19" s="18"/>
      <c r="S19" s="2"/>
      <c r="T19" s="2"/>
      <c r="U19" s="2"/>
      <c r="V19" s="20"/>
      <c r="W19" s="2"/>
      <c r="X19" s="18"/>
      <c r="Y19" s="18"/>
      <c r="Z19" s="2"/>
      <c r="AA19" s="2"/>
      <c r="AB19" s="2"/>
      <c r="AC19" s="20"/>
      <c r="AD19" s="2"/>
      <c r="AE19" s="18"/>
      <c r="AF19" s="18"/>
      <c r="AG19" s="2"/>
      <c r="AH19" s="2"/>
      <c r="AI19" s="11">
        <f t="shared" si="0"/>
        <v>0</v>
      </c>
      <c r="AJ19" s="12">
        <f t="shared" si="1"/>
        <v>0</v>
      </c>
      <c r="AK19" s="13">
        <f t="shared" si="2"/>
        <v>0</v>
      </c>
      <c r="AL19" s="14">
        <f t="shared" si="3"/>
        <v>0</v>
      </c>
      <c r="AM19" s="14">
        <f t="shared" si="4"/>
        <v>0</v>
      </c>
      <c r="AN19" s="15">
        <f t="shared" si="5"/>
        <v>0</v>
      </c>
      <c r="AO19" s="16">
        <f t="shared" si="6"/>
        <v>0</v>
      </c>
      <c r="AP19" s="17"/>
    </row>
    <row r="20" spans="1:42" ht="27.75" customHeight="1" x14ac:dyDescent="0.2">
      <c r="A20" s="2"/>
      <c r="B20" s="2"/>
      <c r="C20" s="2"/>
      <c r="D20" s="2"/>
      <c r="E20" s="5"/>
      <c r="F20" s="2"/>
      <c r="G20" s="2"/>
      <c r="H20" s="20"/>
      <c r="I20" s="2"/>
      <c r="J20" s="18"/>
      <c r="K20" s="18"/>
      <c r="L20" s="2"/>
      <c r="M20" s="2"/>
      <c r="N20" s="2"/>
      <c r="O20" s="20"/>
      <c r="P20" s="2"/>
      <c r="Q20" s="18"/>
      <c r="R20" s="18"/>
      <c r="S20" s="2"/>
      <c r="T20" s="2"/>
      <c r="U20" s="2"/>
      <c r="V20" s="20"/>
      <c r="W20" s="2"/>
      <c r="X20" s="18"/>
      <c r="Y20" s="18"/>
      <c r="Z20" s="2"/>
      <c r="AA20" s="2"/>
      <c r="AB20" s="2"/>
      <c r="AC20" s="20"/>
      <c r="AD20" s="2"/>
      <c r="AE20" s="18"/>
      <c r="AF20" s="18"/>
      <c r="AG20" s="2"/>
      <c r="AH20" s="2"/>
      <c r="AI20" s="11">
        <f t="shared" si="0"/>
        <v>0</v>
      </c>
      <c r="AJ20" s="12">
        <f t="shared" si="1"/>
        <v>0</v>
      </c>
      <c r="AK20" s="13">
        <f t="shared" si="2"/>
        <v>0</v>
      </c>
      <c r="AL20" s="14">
        <f t="shared" si="3"/>
        <v>0</v>
      </c>
      <c r="AM20" s="14">
        <f t="shared" si="4"/>
        <v>0</v>
      </c>
      <c r="AN20" s="15">
        <f t="shared" si="5"/>
        <v>0</v>
      </c>
      <c r="AO20" s="16">
        <f t="shared" si="6"/>
        <v>0</v>
      </c>
      <c r="AP20" s="17"/>
    </row>
    <row r="21" spans="1:42" ht="27.75" customHeight="1" x14ac:dyDescent="0.2">
      <c r="A21" s="2"/>
      <c r="B21" s="2"/>
      <c r="C21" s="2"/>
      <c r="D21" s="2"/>
      <c r="E21" s="5"/>
      <c r="F21" s="2"/>
      <c r="G21" s="2"/>
      <c r="H21" s="20"/>
      <c r="I21" s="2"/>
      <c r="J21" s="18"/>
      <c r="K21" s="18"/>
      <c r="L21" s="2"/>
      <c r="M21" s="2"/>
      <c r="N21" s="2"/>
      <c r="O21" s="20"/>
      <c r="P21" s="2"/>
      <c r="Q21" s="18"/>
      <c r="R21" s="18"/>
      <c r="S21" s="2"/>
      <c r="T21" s="2"/>
      <c r="U21" s="2"/>
      <c r="V21" s="20"/>
      <c r="W21" s="2"/>
      <c r="X21" s="18"/>
      <c r="Y21" s="18"/>
      <c r="Z21" s="2"/>
      <c r="AA21" s="2"/>
      <c r="AB21" s="2"/>
      <c r="AC21" s="20"/>
      <c r="AD21" s="2"/>
      <c r="AE21" s="18"/>
      <c r="AF21" s="18"/>
      <c r="AG21" s="2"/>
      <c r="AH21" s="2"/>
      <c r="AI21" s="11">
        <f t="shared" si="0"/>
        <v>0</v>
      </c>
      <c r="AJ21" s="12">
        <f t="shared" si="1"/>
        <v>0</v>
      </c>
      <c r="AK21" s="13">
        <f t="shared" si="2"/>
        <v>0</v>
      </c>
      <c r="AL21" s="14">
        <f t="shared" si="3"/>
        <v>0</v>
      </c>
      <c r="AM21" s="14">
        <f t="shared" si="4"/>
        <v>0</v>
      </c>
      <c r="AN21" s="15">
        <f t="shared" si="5"/>
        <v>0</v>
      </c>
      <c r="AO21" s="16">
        <f t="shared" si="6"/>
        <v>0</v>
      </c>
      <c r="AP21" s="17"/>
    </row>
  </sheetData>
  <autoFilter ref="A1:AP1" xr:uid="{00000000-0001-0000-0100-000000000000}"/>
  <phoneticPr fontId="2"/>
  <conditionalFormatting sqref="E2:E16">
    <cfRule type="containsText" dxfId="145" priority="62" operator="containsText" text="せん">
      <formula>NOT(ISERROR(SEARCH("せん",E2)))</formula>
    </cfRule>
    <cfRule type="containsText" dxfId="144" priority="63" operator="containsText" text="セ">
      <formula>NOT(ISERROR(SEARCH("セ",E2)))</formula>
    </cfRule>
    <cfRule type="containsText" dxfId="143" priority="64" operator="containsText" text="牝">
      <formula>NOT(ISERROR(SEARCH("牝",E2)))</formula>
    </cfRule>
  </conditionalFormatting>
  <conditionalFormatting sqref="H2:H16 O2:O16 V2:V16 AC2:AC16">
    <cfRule type="containsText" dxfId="142" priority="53" operator="containsText" text="中京">
      <formula>NOT(ISERROR(SEARCH("中京",H2)))</formula>
    </cfRule>
  </conditionalFormatting>
  <conditionalFormatting sqref="J2:J16 Q2:Q16 X2:X16 AE2:AE16">
    <cfRule type="cellIs" dxfId="141" priority="50" operator="between">
      <formula>3</formula>
      <formula>4</formula>
    </cfRule>
    <cfRule type="cellIs" dxfId="140" priority="51" operator="equal">
      <formula>2</formula>
    </cfRule>
    <cfRule type="cellIs" dxfId="139" priority="52" operator="equal">
      <formula>1</formula>
    </cfRule>
  </conditionalFormatting>
  <conditionalFormatting sqref="K2:K16 R2:R16 Y2:Y16 AF2:AF16">
    <cfRule type="cellIs" dxfId="138" priority="49" operator="lessThanOrEqual">
      <formula>0.6</formula>
    </cfRule>
  </conditionalFormatting>
  <conditionalFormatting sqref="AI2:AI16">
    <cfRule type="top10" dxfId="137" priority="61" bottom="1" rank="4"/>
  </conditionalFormatting>
  <conditionalFormatting sqref="AJ2:AJ16">
    <cfRule type="top10" dxfId="136" priority="60" bottom="1" rank="4"/>
  </conditionalFormatting>
  <conditionalFormatting sqref="AK2:AK16">
    <cfRule type="top10" dxfId="135" priority="58" rank="4"/>
  </conditionalFormatting>
  <conditionalFormatting sqref="AL2:AN16">
    <cfRule type="top10" dxfId="134" priority="57" rank="4"/>
  </conditionalFormatting>
  <conditionalFormatting sqref="AO2:AO16">
    <cfRule type="top10" dxfId="133" priority="59" rank="4"/>
  </conditionalFormatting>
  <conditionalFormatting sqref="AP2:AP16">
    <cfRule type="containsText" dxfId="132" priority="54" operator="containsText" text="先行">
      <formula>NOT(ISERROR(SEARCH("先行",AP2)))</formula>
    </cfRule>
    <cfRule type="containsText" dxfId="131" priority="55" operator="containsText" text="逃げ">
      <formula>NOT(ISERROR(SEARCH("逃げ",AP2)))</formula>
    </cfRule>
    <cfRule type="containsText" dxfId="130" priority="56" operator="containsText" text="先行差し">
      <formula>NOT(ISERROR(SEARCH("先行差し",AP2)))</formula>
    </cfRule>
  </conditionalFormatting>
  <conditionalFormatting sqref="E17:E19">
    <cfRule type="containsText" dxfId="129" priority="46" operator="containsText" text="せん">
      <formula>NOT(ISERROR(SEARCH("せん",E17)))</formula>
    </cfRule>
    <cfRule type="containsText" dxfId="128" priority="47" operator="containsText" text="セ">
      <formula>NOT(ISERROR(SEARCH("セ",E17)))</formula>
    </cfRule>
    <cfRule type="containsText" dxfId="127" priority="48" operator="containsText" text="牝">
      <formula>NOT(ISERROR(SEARCH("牝",E17)))</formula>
    </cfRule>
  </conditionalFormatting>
  <conditionalFormatting sqref="H17:H19 O17:O19 V17:V19 AC17:AC19">
    <cfRule type="containsText" dxfId="126" priority="33" operator="containsText" text="中山">
      <formula>NOT(ISERROR(SEARCH("中山",H17)))</formula>
    </cfRule>
  </conditionalFormatting>
  <conditionalFormatting sqref="J17:J19 Q17:Q19 X17:X19 AE17:AE19">
    <cfRule type="cellIs" dxfId="125" priority="43" operator="between">
      <formula>3</formula>
      <formula>4</formula>
    </cfRule>
    <cfRule type="cellIs" dxfId="124" priority="44" operator="equal">
      <formula>2</formula>
    </cfRule>
    <cfRule type="cellIs" dxfId="123" priority="45" operator="equal">
      <formula>1</formula>
    </cfRule>
  </conditionalFormatting>
  <conditionalFormatting sqref="K17:K19 R17:R19 Y17:Y19 AF17:AF19">
    <cfRule type="cellIs" dxfId="122" priority="42" operator="lessThanOrEqual">
      <formula>0.6</formula>
    </cfRule>
  </conditionalFormatting>
  <conditionalFormatting sqref="AI17:AI19">
    <cfRule type="top10" dxfId="121" priority="41" bottom="1" rank="4"/>
  </conditionalFormatting>
  <conditionalFormatting sqref="AJ17:AJ19">
    <cfRule type="top10" dxfId="120" priority="40" bottom="1" rank="4"/>
  </conditionalFormatting>
  <conditionalFormatting sqref="AK17:AK19">
    <cfRule type="top10" dxfId="119" priority="38" rank="4"/>
  </conditionalFormatting>
  <conditionalFormatting sqref="AL17:AN19">
    <cfRule type="top10" dxfId="118" priority="37" rank="4"/>
  </conditionalFormatting>
  <conditionalFormatting sqref="AO17:AO19">
    <cfRule type="top10" dxfId="117" priority="39" rank="4"/>
  </conditionalFormatting>
  <conditionalFormatting sqref="AP17:AP19">
    <cfRule type="containsText" dxfId="116" priority="34" operator="containsText" text="先行">
      <formula>NOT(ISERROR(SEARCH("先行",AP17)))</formula>
    </cfRule>
    <cfRule type="containsText" dxfId="115" priority="35" operator="containsText" text="逃げ">
      <formula>NOT(ISERROR(SEARCH("逃げ",AP17)))</formula>
    </cfRule>
    <cfRule type="containsText" dxfId="114" priority="36" operator="containsText" text="先行差し">
      <formula>NOT(ISERROR(SEARCH("先行差し",AP17)))</formula>
    </cfRule>
  </conditionalFormatting>
  <conditionalFormatting sqref="E20">
    <cfRule type="containsText" dxfId="113" priority="30" operator="containsText" text="せん">
      <formula>NOT(ISERROR(SEARCH("せん",E20)))</formula>
    </cfRule>
    <cfRule type="containsText" dxfId="112" priority="31" operator="containsText" text="セ">
      <formula>NOT(ISERROR(SEARCH("セ",E20)))</formula>
    </cfRule>
    <cfRule type="containsText" dxfId="111" priority="32" operator="containsText" text="牝">
      <formula>NOT(ISERROR(SEARCH("牝",E20)))</formula>
    </cfRule>
  </conditionalFormatting>
  <conditionalFormatting sqref="H20 O20 V20 AC20">
    <cfRule type="containsText" dxfId="110" priority="17" operator="containsText" text="中山">
      <formula>NOT(ISERROR(SEARCH("中山",H20)))</formula>
    </cfRule>
  </conditionalFormatting>
  <conditionalFormatting sqref="J20 Q20 X20 AE20">
    <cfRule type="cellIs" dxfId="109" priority="27" operator="between">
      <formula>3</formula>
      <formula>4</formula>
    </cfRule>
    <cfRule type="cellIs" dxfId="108" priority="28" operator="equal">
      <formula>2</formula>
    </cfRule>
    <cfRule type="cellIs" dxfId="107" priority="29" operator="equal">
      <formula>1</formula>
    </cfRule>
  </conditionalFormatting>
  <conditionalFormatting sqref="K20 R20 Y20 AF20">
    <cfRule type="cellIs" dxfId="106" priority="26" operator="lessThanOrEqual">
      <formula>0.6</formula>
    </cfRule>
  </conditionalFormatting>
  <conditionalFormatting sqref="AI20">
    <cfRule type="top10" dxfId="105" priority="25" bottom="1" rank="4"/>
  </conditionalFormatting>
  <conditionalFormatting sqref="AJ20">
    <cfRule type="top10" dxfId="104" priority="24" bottom="1" rank="4"/>
  </conditionalFormatting>
  <conditionalFormatting sqref="AK20">
    <cfRule type="top10" dxfId="103" priority="22" rank="4"/>
  </conditionalFormatting>
  <conditionalFormatting sqref="AL20:AN20">
    <cfRule type="top10" dxfId="102" priority="21" rank="4"/>
  </conditionalFormatting>
  <conditionalFormatting sqref="AO20">
    <cfRule type="top10" dxfId="101" priority="23" rank="4"/>
  </conditionalFormatting>
  <conditionalFormatting sqref="AP20">
    <cfRule type="containsText" dxfId="100" priority="18" operator="containsText" text="先行">
      <formula>NOT(ISERROR(SEARCH("先行",AP20)))</formula>
    </cfRule>
    <cfRule type="containsText" dxfId="99" priority="19" operator="containsText" text="逃げ">
      <formula>NOT(ISERROR(SEARCH("逃げ",AP20)))</formula>
    </cfRule>
    <cfRule type="containsText" dxfId="98" priority="20" operator="containsText" text="先行差し">
      <formula>NOT(ISERROR(SEARCH("先行差し",AP20)))</formula>
    </cfRule>
  </conditionalFormatting>
  <conditionalFormatting sqref="E21">
    <cfRule type="containsText" dxfId="97" priority="14" operator="containsText" text="せん">
      <formula>NOT(ISERROR(SEARCH("せん",E21)))</formula>
    </cfRule>
    <cfRule type="containsText" dxfId="96" priority="15" operator="containsText" text="セ">
      <formula>NOT(ISERROR(SEARCH("セ",E21)))</formula>
    </cfRule>
    <cfRule type="containsText" dxfId="95" priority="16" operator="containsText" text="牝">
      <formula>NOT(ISERROR(SEARCH("牝",E21)))</formula>
    </cfRule>
  </conditionalFormatting>
  <conditionalFormatting sqref="H21 O21 V21 AC21">
    <cfRule type="containsText" dxfId="94" priority="1" operator="containsText" text="中山">
      <formula>NOT(ISERROR(SEARCH("中山",H21)))</formula>
    </cfRule>
  </conditionalFormatting>
  <conditionalFormatting sqref="J21 Q21 X21 AE21">
    <cfRule type="cellIs" dxfId="93" priority="11" operator="between">
      <formula>3</formula>
      <formula>4</formula>
    </cfRule>
    <cfRule type="cellIs" dxfId="92" priority="12" operator="equal">
      <formula>2</formula>
    </cfRule>
    <cfRule type="cellIs" dxfId="91" priority="13" operator="equal">
      <formula>1</formula>
    </cfRule>
  </conditionalFormatting>
  <conditionalFormatting sqref="K21 R21 Y21 AF21">
    <cfRule type="cellIs" dxfId="90" priority="10" operator="lessThanOrEqual">
      <formula>0.6</formula>
    </cfRule>
  </conditionalFormatting>
  <conditionalFormatting sqref="AI21">
    <cfRule type="top10" dxfId="89" priority="9" bottom="1" rank="4"/>
  </conditionalFormatting>
  <conditionalFormatting sqref="AJ21">
    <cfRule type="top10" dxfId="88" priority="8" bottom="1" rank="4"/>
  </conditionalFormatting>
  <conditionalFormatting sqref="AK21">
    <cfRule type="top10" dxfId="87" priority="6" rank="4"/>
  </conditionalFormatting>
  <conditionalFormatting sqref="AL21:AN21">
    <cfRule type="top10" dxfId="86" priority="5" rank="4"/>
  </conditionalFormatting>
  <conditionalFormatting sqref="AO21">
    <cfRule type="top10" dxfId="85" priority="7" rank="4"/>
  </conditionalFormatting>
  <conditionalFormatting sqref="AP21">
    <cfRule type="containsText" dxfId="84" priority="2" operator="containsText" text="先行">
      <formula>NOT(ISERROR(SEARCH("先行",AP21)))</formula>
    </cfRule>
    <cfRule type="containsText" dxfId="83" priority="3" operator="containsText" text="逃げ">
      <formula>NOT(ISERROR(SEARCH("逃げ",AP21)))</formula>
    </cfRule>
    <cfRule type="containsText" dxfId="82" priority="4" operator="containsText" text="先行差し">
      <formula>NOT(ISERROR(SEARCH("先行差し",AP21)))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1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16" sqref="A16:XFD21"/>
    </sheetView>
  </sheetViews>
  <sheetFormatPr defaultRowHeight="13.5" x14ac:dyDescent="0.15"/>
  <cols>
    <col min="1" max="3" width="5.875" customWidth="1"/>
    <col min="4" max="4" width="17.375" customWidth="1"/>
    <col min="6" max="6" width="7" customWidth="1"/>
    <col min="10" max="11" width="6.5" customWidth="1"/>
    <col min="13" max="13" width="6.25" customWidth="1"/>
    <col min="17" max="18" width="5.875" customWidth="1"/>
    <col min="20" max="20" width="5.875" customWidth="1"/>
    <col min="24" max="25" width="5.625" customWidth="1"/>
    <col min="27" max="27" width="6.25" customWidth="1"/>
    <col min="31" max="32" width="5.875" customWidth="1"/>
    <col min="33" max="33" width="11" customWidth="1"/>
    <col min="34" max="34" width="6.5" customWidth="1"/>
    <col min="35" max="36" width="7.375" customWidth="1"/>
    <col min="37" max="40" width="4.75" customWidth="1"/>
    <col min="42" max="42" width="14.25" customWidth="1"/>
  </cols>
  <sheetData>
    <row r="1" spans="1:42" x14ac:dyDescent="0.15">
      <c r="A1" s="3" t="s">
        <v>32</v>
      </c>
      <c r="B1" s="4" t="s">
        <v>0</v>
      </c>
      <c r="C1" s="4" t="s">
        <v>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34</v>
      </c>
      <c r="AJ1" s="7" t="s">
        <v>35</v>
      </c>
      <c r="AK1" s="6" t="s">
        <v>36</v>
      </c>
      <c r="AL1" s="8" t="s">
        <v>37</v>
      </c>
      <c r="AM1" s="8" t="s">
        <v>38</v>
      </c>
      <c r="AN1" s="7" t="s">
        <v>39</v>
      </c>
      <c r="AO1" s="9" t="s">
        <v>40</v>
      </c>
      <c r="AP1" s="10" t="s">
        <v>41</v>
      </c>
    </row>
    <row r="2" spans="1:42" ht="36.75" customHeight="1" x14ac:dyDescent="0.2">
      <c r="A2" s="2"/>
      <c r="B2" s="2"/>
      <c r="C2" s="2"/>
      <c r="D2" s="2"/>
      <c r="E2" s="5"/>
      <c r="F2" s="2"/>
      <c r="G2" s="2"/>
      <c r="H2" s="2"/>
      <c r="I2" s="2"/>
      <c r="J2" s="18"/>
      <c r="K2" s="18"/>
      <c r="L2" s="2"/>
      <c r="M2" s="2"/>
      <c r="N2" s="2"/>
      <c r="O2" s="2"/>
      <c r="P2" s="2"/>
      <c r="Q2" s="18"/>
      <c r="R2" s="18"/>
      <c r="S2" s="2"/>
      <c r="T2" s="2"/>
      <c r="U2" s="2"/>
      <c r="V2" s="2"/>
      <c r="W2" s="2"/>
      <c r="X2" s="18"/>
      <c r="Y2" s="18"/>
      <c r="Z2" s="2"/>
      <c r="AA2" s="2"/>
      <c r="AB2" s="2"/>
      <c r="AC2" s="2"/>
      <c r="AD2" s="2"/>
      <c r="AE2" s="18"/>
      <c r="AF2" s="18"/>
      <c r="AG2" s="2"/>
      <c r="AH2" s="2"/>
      <c r="AI2" s="11">
        <f t="shared" ref="AI2:AI21" si="0">MIN(AH2,AA2,T2,M2)</f>
        <v>0</v>
      </c>
      <c r="AJ2" s="12">
        <f t="shared" ref="AJ2:AJ21" si="1">SUM(K2,R2,Y2,AF2)</f>
        <v>0</v>
      </c>
      <c r="AK2" s="13">
        <f t="shared" ref="AK2:AK21" si="2">COUNTIF(AE2,1)+COUNTIF(X2,1)+COUNTIF(Q2,1)+COUNTIF(J2,1)</f>
        <v>0</v>
      </c>
      <c r="AL2" s="14">
        <f t="shared" ref="AL2:AL21" si="3">COUNTIF(AE2,2)+COUNTIF(X2,2)+COUNTIF(Q2,2)+COUNTIF(J2,2)</f>
        <v>0</v>
      </c>
      <c r="AM2" s="14">
        <f t="shared" ref="AM2:AM21" si="4">COUNTIF(AE2,3)+COUNTIF(X2,3)+COUNTIF(Q2,3)+COUNTIF(J2,3)</f>
        <v>0</v>
      </c>
      <c r="AN2" s="15">
        <f t="shared" ref="AN2:AN21" si="5">COUNTIF(AE2,4)+COUNTIF(X2,4)+COUNTIF(Q2,4)+COUNTIF(J2,4)</f>
        <v>0</v>
      </c>
      <c r="AO2" s="16">
        <f t="shared" ref="AO2:AO21" si="6">SUM(AK2:AN2)</f>
        <v>0</v>
      </c>
      <c r="AP2" s="17"/>
    </row>
    <row r="3" spans="1:42" ht="36.75" customHeight="1" x14ac:dyDescent="0.2">
      <c r="A3" s="2"/>
      <c r="B3" s="2"/>
      <c r="C3" s="2"/>
      <c r="D3" s="2"/>
      <c r="E3" s="5"/>
      <c r="F3" s="2"/>
      <c r="G3" s="2"/>
      <c r="H3" s="2"/>
      <c r="I3" s="2"/>
      <c r="J3" s="18"/>
      <c r="K3" s="18"/>
      <c r="L3" s="2"/>
      <c r="M3" s="2"/>
      <c r="N3" s="2"/>
      <c r="O3" s="2"/>
      <c r="P3" s="2"/>
      <c r="Q3" s="18"/>
      <c r="R3" s="18"/>
      <c r="S3" s="2"/>
      <c r="T3" s="2"/>
      <c r="U3" s="2"/>
      <c r="V3" s="2"/>
      <c r="W3" s="2"/>
      <c r="X3" s="18"/>
      <c r="Y3" s="18"/>
      <c r="Z3" s="2"/>
      <c r="AA3" s="2"/>
      <c r="AB3" s="2"/>
      <c r="AC3" s="2"/>
      <c r="AD3" s="2"/>
      <c r="AE3" s="18"/>
      <c r="AF3" s="18"/>
      <c r="AG3" s="2"/>
      <c r="AH3" s="2"/>
      <c r="AI3" s="11">
        <f t="shared" si="0"/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</row>
    <row r="4" spans="1:42" ht="36.75" customHeight="1" x14ac:dyDescent="0.2">
      <c r="A4" s="2"/>
      <c r="B4" s="2"/>
      <c r="C4" s="2"/>
      <c r="D4" s="2"/>
      <c r="E4" s="5"/>
      <c r="F4" s="2"/>
      <c r="G4" s="2"/>
      <c r="H4" s="2"/>
      <c r="I4" s="2"/>
      <c r="J4" s="18"/>
      <c r="K4" s="18"/>
      <c r="L4" s="2"/>
      <c r="M4" s="2"/>
      <c r="N4" s="2"/>
      <c r="O4" s="2"/>
      <c r="P4" s="2"/>
      <c r="Q4" s="18"/>
      <c r="R4" s="18"/>
      <c r="S4" s="2"/>
      <c r="T4" s="2"/>
      <c r="U4" s="2"/>
      <c r="V4" s="2"/>
      <c r="W4" s="2"/>
      <c r="X4" s="18"/>
      <c r="Y4" s="18"/>
      <c r="Z4" s="2"/>
      <c r="AA4" s="2"/>
      <c r="AB4" s="2"/>
      <c r="AC4" s="2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</row>
    <row r="5" spans="1:42" ht="36.75" customHeight="1" x14ac:dyDescent="0.2">
      <c r="A5" s="2"/>
      <c r="B5" s="2"/>
      <c r="C5" s="2"/>
      <c r="D5" s="2"/>
      <c r="E5" s="5"/>
      <c r="F5" s="2"/>
      <c r="G5" s="2"/>
      <c r="H5" s="2"/>
      <c r="I5" s="2"/>
      <c r="J5" s="18"/>
      <c r="K5" s="18"/>
      <c r="L5" s="2"/>
      <c r="M5" s="2"/>
      <c r="N5" s="2"/>
      <c r="O5" s="2"/>
      <c r="P5" s="2"/>
      <c r="Q5" s="18"/>
      <c r="R5" s="18"/>
      <c r="S5" s="2"/>
      <c r="T5" s="2"/>
      <c r="U5" s="2"/>
      <c r="V5" s="2"/>
      <c r="W5" s="2"/>
      <c r="X5" s="18"/>
      <c r="Y5" s="18"/>
      <c r="Z5" s="2"/>
      <c r="AA5" s="2"/>
      <c r="AB5" s="2"/>
      <c r="AC5" s="2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</row>
    <row r="6" spans="1:42" ht="36.75" customHeight="1" x14ac:dyDescent="0.2">
      <c r="A6" s="2"/>
      <c r="B6" s="2"/>
      <c r="C6" s="2"/>
      <c r="D6" s="2"/>
      <c r="E6" s="5"/>
      <c r="F6" s="2"/>
      <c r="G6" s="2"/>
      <c r="H6" s="2"/>
      <c r="I6" s="2"/>
      <c r="J6" s="18"/>
      <c r="K6" s="18"/>
      <c r="L6" s="2"/>
      <c r="M6" s="2"/>
      <c r="N6" s="2"/>
      <c r="O6" s="2"/>
      <c r="P6" s="2"/>
      <c r="Q6" s="18"/>
      <c r="R6" s="18"/>
      <c r="S6" s="2"/>
      <c r="T6" s="2"/>
      <c r="U6" s="2"/>
      <c r="V6" s="2"/>
      <c r="W6" s="2"/>
      <c r="X6" s="18"/>
      <c r="Y6" s="18"/>
      <c r="Z6" s="2"/>
      <c r="AA6" s="2"/>
      <c r="AB6" s="2"/>
      <c r="AC6" s="2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</row>
    <row r="7" spans="1:42" ht="36.75" customHeight="1" x14ac:dyDescent="0.2">
      <c r="A7" s="2"/>
      <c r="B7" s="2"/>
      <c r="C7" s="2"/>
      <c r="D7" s="2"/>
      <c r="E7" s="5"/>
      <c r="F7" s="2"/>
      <c r="G7" s="2"/>
      <c r="H7" s="2"/>
      <c r="I7" s="2"/>
      <c r="J7" s="18"/>
      <c r="K7" s="18"/>
      <c r="L7" s="2"/>
      <c r="M7" s="2"/>
      <c r="N7" s="2"/>
      <c r="O7" s="2"/>
      <c r="P7" s="2"/>
      <c r="Q7" s="18"/>
      <c r="R7" s="18"/>
      <c r="S7" s="2"/>
      <c r="T7" s="2"/>
      <c r="U7" s="2"/>
      <c r="V7" s="2"/>
      <c r="W7" s="2"/>
      <c r="X7" s="18"/>
      <c r="Y7" s="18"/>
      <c r="Z7" s="2"/>
      <c r="AA7" s="2"/>
      <c r="AB7" s="2"/>
      <c r="AC7" s="2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</row>
    <row r="8" spans="1:42" ht="36.75" customHeight="1" x14ac:dyDescent="0.2">
      <c r="A8" s="2"/>
      <c r="B8" s="2"/>
      <c r="C8" s="2"/>
      <c r="D8" s="2"/>
      <c r="E8" s="5"/>
      <c r="F8" s="2"/>
      <c r="G8" s="2"/>
      <c r="H8" s="2"/>
      <c r="I8" s="2"/>
      <c r="J8" s="18"/>
      <c r="K8" s="18"/>
      <c r="L8" s="2"/>
      <c r="M8" s="2"/>
      <c r="N8" s="2"/>
      <c r="O8" s="2"/>
      <c r="P8" s="2"/>
      <c r="Q8" s="18"/>
      <c r="R8" s="18"/>
      <c r="S8" s="2"/>
      <c r="T8" s="2"/>
      <c r="U8" s="2"/>
      <c r="V8" s="2"/>
      <c r="W8" s="2"/>
      <c r="X8" s="18"/>
      <c r="Y8" s="18"/>
      <c r="Z8" s="2"/>
      <c r="AA8" s="2"/>
      <c r="AB8" s="2"/>
      <c r="AC8" s="2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</row>
    <row r="9" spans="1:42" ht="36.75" customHeight="1" x14ac:dyDescent="0.2">
      <c r="A9" s="2"/>
      <c r="B9" s="2"/>
      <c r="C9" s="2"/>
      <c r="D9" s="2"/>
      <c r="E9" s="5"/>
      <c r="F9" s="2"/>
      <c r="G9" s="2"/>
      <c r="H9" s="2"/>
      <c r="I9" s="2"/>
      <c r="J9" s="18"/>
      <c r="K9" s="18"/>
      <c r="L9" s="2"/>
      <c r="M9" s="2"/>
      <c r="N9" s="2"/>
      <c r="O9" s="2"/>
      <c r="P9" s="2"/>
      <c r="Q9" s="18"/>
      <c r="R9" s="18"/>
      <c r="S9" s="2"/>
      <c r="T9" s="2"/>
      <c r="U9" s="2"/>
      <c r="V9" s="2"/>
      <c r="W9" s="2"/>
      <c r="X9" s="18"/>
      <c r="Y9" s="18"/>
      <c r="Z9" s="2"/>
      <c r="AA9" s="2"/>
      <c r="AB9" s="2"/>
      <c r="AC9" s="2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</row>
    <row r="10" spans="1:42" ht="36.75" customHeight="1" x14ac:dyDescent="0.2">
      <c r="A10" s="2"/>
      <c r="B10" s="2"/>
      <c r="C10" s="2"/>
      <c r="D10" s="2"/>
      <c r="E10" s="5"/>
      <c r="F10" s="2"/>
      <c r="G10" s="2"/>
      <c r="H10" s="2"/>
      <c r="I10" s="2"/>
      <c r="J10" s="18"/>
      <c r="K10" s="18"/>
      <c r="L10" s="2"/>
      <c r="M10" s="2"/>
      <c r="N10" s="2"/>
      <c r="O10" s="2"/>
      <c r="P10" s="2"/>
      <c r="Q10" s="18"/>
      <c r="R10" s="18"/>
      <c r="S10" s="2"/>
      <c r="T10" s="2"/>
      <c r="U10" s="2"/>
      <c r="V10" s="2"/>
      <c r="W10" s="2"/>
      <c r="X10" s="18"/>
      <c r="Y10" s="18"/>
      <c r="Z10" s="2"/>
      <c r="AA10" s="2"/>
      <c r="AB10" s="2"/>
      <c r="AC10" s="2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</row>
    <row r="11" spans="1:42" ht="36.75" customHeight="1" x14ac:dyDescent="0.2">
      <c r="A11" s="2"/>
      <c r="B11" s="2"/>
      <c r="C11" s="2"/>
      <c r="D11" s="2"/>
      <c r="E11" s="5"/>
      <c r="F11" s="2"/>
      <c r="G11" s="2"/>
      <c r="H11" s="2"/>
      <c r="I11" s="2"/>
      <c r="J11" s="18"/>
      <c r="K11" s="18"/>
      <c r="L11" s="2"/>
      <c r="M11" s="2"/>
      <c r="N11" s="2"/>
      <c r="O11" s="2"/>
      <c r="P11" s="2"/>
      <c r="Q11" s="18"/>
      <c r="R11" s="18"/>
      <c r="S11" s="2"/>
      <c r="T11" s="2"/>
      <c r="U11" s="2"/>
      <c r="V11" s="2"/>
      <c r="W11" s="2"/>
      <c r="X11" s="18"/>
      <c r="Y11" s="18"/>
      <c r="Z11" s="2"/>
      <c r="AA11" s="2"/>
      <c r="AB11" s="2"/>
      <c r="AC11" s="2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</row>
    <row r="12" spans="1:42" ht="36.75" customHeight="1" x14ac:dyDescent="0.2">
      <c r="A12" s="2"/>
      <c r="B12" s="2"/>
      <c r="C12" s="2"/>
      <c r="D12" s="2"/>
      <c r="E12" s="5"/>
      <c r="F12" s="2"/>
      <c r="G12" s="2"/>
      <c r="H12" s="2"/>
      <c r="I12" s="2"/>
      <c r="J12" s="18"/>
      <c r="K12" s="18"/>
      <c r="L12" s="2"/>
      <c r="M12" s="2"/>
      <c r="N12" s="2"/>
      <c r="O12" s="2"/>
      <c r="P12" s="2"/>
      <c r="Q12" s="18"/>
      <c r="R12" s="18"/>
      <c r="S12" s="2"/>
      <c r="T12" s="2"/>
      <c r="U12" s="2"/>
      <c r="V12" s="2"/>
      <c r="W12" s="2"/>
      <c r="X12" s="18"/>
      <c r="Y12" s="18"/>
      <c r="Z12" s="2"/>
      <c r="AA12" s="2"/>
      <c r="AB12" s="2"/>
      <c r="AC12" s="2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</row>
    <row r="13" spans="1:42" ht="36.75" customHeight="1" x14ac:dyDescent="0.2">
      <c r="A13" s="2"/>
      <c r="B13" s="2"/>
      <c r="C13" s="2"/>
      <c r="D13" s="2"/>
      <c r="E13" s="5"/>
      <c r="F13" s="2"/>
      <c r="G13" s="2"/>
      <c r="H13" s="2"/>
      <c r="I13" s="2"/>
      <c r="J13" s="18"/>
      <c r="K13" s="18"/>
      <c r="L13" s="2"/>
      <c r="M13" s="2"/>
      <c r="N13" s="2"/>
      <c r="O13" s="2"/>
      <c r="P13" s="2"/>
      <c r="Q13" s="18"/>
      <c r="R13" s="18"/>
      <c r="S13" s="2"/>
      <c r="T13" s="2"/>
      <c r="U13" s="2"/>
      <c r="V13" s="2"/>
      <c r="W13" s="2"/>
      <c r="X13" s="18"/>
      <c r="Y13" s="18"/>
      <c r="Z13" s="2"/>
      <c r="AA13" s="2"/>
      <c r="AB13" s="2"/>
      <c r="AC13" s="2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</row>
    <row r="14" spans="1:42" ht="36.75" customHeight="1" x14ac:dyDescent="0.2">
      <c r="A14" s="2"/>
      <c r="B14" s="2"/>
      <c r="C14" s="2"/>
      <c r="D14" s="2"/>
      <c r="E14" s="5"/>
      <c r="F14" s="2"/>
      <c r="G14" s="2"/>
      <c r="H14" s="2"/>
      <c r="I14" s="2"/>
      <c r="J14" s="18"/>
      <c r="K14" s="18"/>
      <c r="L14" s="2"/>
      <c r="M14" s="2"/>
      <c r="N14" s="2"/>
      <c r="O14" s="2"/>
      <c r="P14" s="2"/>
      <c r="Q14" s="18"/>
      <c r="R14" s="18"/>
      <c r="S14" s="2"/>
      <c r="T14" s="2"/>
      <c r="U14" s="2"/>
      <c r="V14" s="2"/>
      <c r="W14" s="2"/>
      <c r="X14" s="18"/>
      <c r="Y14" s="18"/>
      <c r="Z14" s="2"/>
      <c r="AA14" s="2"/>
      <c r="AB14" s="2"/>
      <c r="AC14" s="2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</row>
    <row r="15" spans="1:42" ht="36.75" customHeight="1" x14ac:dyDescent="0.2">
      <c r="A15" s="2"/>
      <c r="B15" s="2"/>
      <c r="C15" s="2"/>
      <c r="D15" s="2"/>
      <c r="E15" s="5"/>
      <c r="F15" s="2"/>
      <c r="G15" s="2"/>
      <c r="H15" s="2"/>
      <c r="I15" s="2"/>
      <c r="J15" s="18"/>
      <c r="K15" s="18"/>
      <c r="L15" s="2"/>
      <c r="M15" s="2"/>
      <c r="N15" s="2"/>
      <c r="O15" s="2"/>
      <c r="P15" s="2"/>
      <c r="Q15" s="18"/>
      <c r="R15" s="18"/>
      <c r="S15" s="2"/>
      <c r="T15" s="2"/>
      <c r="U15" s="2"/>
      <c r="V15" s="2"/>
      <c r="W15" s="2"/>
      <c r="X15" s="18"/>
      <c r="Y15" s="18"/>
      <c r="Z15" s="2"/>
      <c r="AA15" s="2"/>
      <c r="AB15" s="2"/>
      <c r="AC15" s="2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</row>
    <row r="16" spans="1:42" ht="27.75" customHeight="1" x14ac:dyDescent="0.2">
      <c r="A16" s="2"/>
      <c r="B16" s="2"/>
      <c r="C16" s="2"/>
      <c r="D16" s="2"/>
      <c r="E16" s="5"/>
      <c r="F16" s="2"/>
      <c r="G16" s="2"/>
      <c r="H16" s="20"/>
      <c r="I16" s="2"/>
      <c r="J16" s="18"/>
      <c r="K16" s="18"/>
      <c r="L16" s="2"/>
      <c r="M16" s="2"/>
      <c r="N16" s="2"/>
      <c r="O16" s="20"/>
      <c r="P16" s="2"/>
      <c r="Q16" s="18"/>
      <c r="R16" s="18"/>
      <c r="S16" s="2"/>
      <c r="T16" s="2"/>
      <c r="U16" s="2"/>
      <c r="V16" s="20"/>
      <c r="W16" s="2"/>
      <c r="X16" s="18"/>
      <c r="Y16" s="18"/>
      <c r="Z16" s="2"/>
      <c r="AA16" s="2"/>
      <c r="AB16" s="2"/>
      <c r="AC16" s="20"/>
      <c r="AD16" s="2"/>
      <c r="AE16" s="18"/>
      <c r="AF16" s="18"/>
      <c r="AG16" s="2"/>
      <c r="AH16" s="2"/>
      <c r="AI16" s="11">
        <f t="shared" si="0"/>
        <v>0</v>
      </c>
      <c r="AJ16" s="12">
        <f t="shared" si="1"/>
        <v>0</v>
      </c>
      <c r="AK16" s="13">
        <f t="shared" si="2"/>
        <v>0</v>
      </c>
      <c r="AL16" s="14">
        <f t="shared" si="3"/>
        <v>0</v>
      </c>
      <c r="AM16" s="14">
        <f t="shared" si="4"/>
        <v>0</v>
      </c>
      <c r="AN16" s="15">
        <f t="shared" si="5"/>
        <v>0</v>
      </c>
      <c r="AO16" s="16">
        <f t="shared" si="6"/>
        <v>0</v>
      </c>
      <c r="AP16" s="17"/>
    </row>
    <row r="17" spans="1:42" ht="27.75" customHeight="1" x14ac:dyDescent="0.2">
      <c r="A17" s="2"/>
      <c r="B17" s="2"/>
      <c r="C17" s="2"/>
      <c r="D17" s="2"/>
      <c r="E17" s="5"/>
      <c r="F17" s="2"/>
      <c r="G17" s="2"/>
      <c r="H17" s="20"/>
      <c r="I17" s="2"/>
      <c r="J17" s="18"/>
      <c r="K17" s="18"/>
      <c r="L17" s="2"/>
      <c r="M17" s="2"/>
      <c r="N17" s="2"/>
      <c r="O17" s="20"/>
      <c r="P17" s="2"/>
      <c r="Q17" s="18"/>
      <c r="R17" s="18"/>
      <c r="S17" s="2"/>
      <c r="T17" s="2"/>
      <c r="U17" s="2"/>
      <c r="V17" s="20"/>
      <c r="W17" s="2"/>
      <c r="X17" s="18"/>
      <c r="Y17" s="18"/>
      <c r="Z17" s="2"/>
      <c r="AA17" s="2"/>
      <c r="AB17" s="2"/>
      <c r="AC17" s="20"/>
      <c r="AD17" s="2"/>
      <c r="AE17" s="18"/>
      <c r="AF17" s="18"/>
      <c r="AG17" s="2"/>
      <c r="AH17" s="2"/>
      <c r="AI17" s="11">
        <f t="shared" si="0"/>
        <v>0</v>
      </c>
      <c r="AJ17" s="12">
        <f t="shared" si="1"/>
        <v>0</v>
      </c>
      <c r="AK17" s="13">
        <f t="shared" si="2"/>
        <v>0</v>
      </c>
      <c r="AL17" s="14">
        <f t="shared" si="3"/>
        <v>0</v>
      </c>
      <c r="AM17" s="14">
        <f t="shared" si="4"/>
        <v>0</v>
      </c>
      <c r="AN17" s="15">
        <f t="shared" si="5"/>
        <v>0</v>
      </c>
      <c r="AO17" s="16">
        <f t="shared" si="6"/>
        <v>0</v>
      </c>
      <c r="AP17" s="17"/>
    </row>
    <row r="18" spans="1:42" ht="27.75" customHeight="1" x14ac:dyDescent="0.2">
      <c r="A18" s="2"/>
      <c r="B18" s="2"/>
      <c r="C18" s="2"/>
      <c r="D18" s="2"/>
      <c r="E18" s="5"/>
      <c r="F18" s="2"/>
      <c r="G18" s="2"/>
      <c r="H18" s="20"/>
      <c r="I18" s="2"/>
      <c r="J18" s="18"/>
      <c r="K18" s="18"/>
      <c r="L18" s="2"/>
      <c r="M18" s="2"/>
      <c r="N18" s="2"/>
      <c r="O18" s="20"/>
      <c r="P18" s="2"/>
      <c r="Q18" s="18"/>
      <c r="R18" s="18"/>
      <c r="S18" s="2"/>
      <c r="T18" s="2"/>
      <c r="U18" s="2"/>
      <c r="V18" s="20"/>
      <c r="W18" s="2"/>
      <c r="X18" s="18"/>
      <c r="Y18" s="18"/>
      <c r="Z18" s="2"/>
      <c r="AA18" s="2"/>
      <c r="AB18" s="2"/>
      <c r="AC18" s="20"/>
      <c r="AD18" s="2"/>
      <c r="AE18" s="18"/>
      <c r="AF18" s="18"/>
      <c r="AG18" s="2"/>
      <c r="AH18" s="2"/>
      <c r="AI18" s="11">
        <f t="shared" si="0"/>
        <v>0</v>
      </c>
      <c r="AJ18" s="12">
        <f t="shared" si="1"/>
        <v>0</v>
      </c>
      <c r="AK18" s="13">
        <f t="shared" si="2"/>
        <v>0</v>
      </c>
      <c r="AL18" s="14">
        <f t="shared" si="3"/>
        <v>0</v>
      </c>
      <c r="AM18" s="14">
        <f t="shared" si="4"/>
        <v>0</v>
      </c>
      <c r="AN18" s="15">
        <f t="shared" si="5"/>
        <v>0</v>
      </c>
      <c r="AO18" s="16">
        <f t="shared" si="6"/>
        <v>0</v>
      </c>
      <c r="AP18" s="17"/>
    </row>
    <row r="19" spans="1:42" ht="27.75" customHeight="1" x14ac:dyDescent="0.2">
      <c r="A19" s="2"/>
      <c r="B19" s="2"/>
      <c r="C19" s="2"/>
      <c r="D19" s="2"/>
      <c r="E19" s="5"/>
      <c r="F19" s="2"/>
      <c r="G19" s="2"/>
      <c r="H19" s="20"/>
      <c r="I19" s="2"/>
      <c r="J19" s="18"/>
      <c r="K19" s="18"/>
      <c r="L19" s="2"/>
      <c r="M19" s="2"/>
      <c r="N19" s="2"/>
      <c r="O19" s="20"/>
      <c r="P19" s="2"/>
      <c r="Q19" s="18"/>
      <c r="R19" s="18"/>
      <c r="S19" s="2"/>
      <c r="T19" s="2"/>
      <c r="U19" s="2"/>
      <c r="V19" s="20"/>
      <c r="W19" s="2"/>
      <c r="X19" s="18"/>
      <c r="Y19" s="18"/>
      <c r="Z19" s="2"/>
      <c r="AA19" s="2"/>
      <c r="AB19" s="2"/>
      <c r="AC19" s="20"/>
      <c r="AD19" s="2"/>
      <c r="AE19" s="18"/>
      <c r="AF19" s="18"/>
      <c r="AG19" s="2"/>
      <c r="AH19" s="2"/>
      <c r="AI19" s="11">
        <f t="shared" si="0"/>
        <v>0</v>
      </c>
      <c r="AJ19" s="12">
        <f t="shared" si="1"/>
        <v>0</v>
      </c>
      <c r="AK19" s="13">
        <f t="shared" si="2"/>
        <v>0</v>
      </c>
      <c r="AL19" s="14">
        <f t="shared" si="3"/>
        <v>0</v>
      </c>
      <c r="AM19" s="14">
        <f t="shared" si="4"/>
        <v>0</v>
      </c>
      <c r="AN19" s="15">
        <f t="shared" si="5"/>
        <v>0</v>
      </c>
      <c r="AO19" s="16">
        <f t="shared" si="6"/>
        <v>0</v>
      </c>
      <c r="AP19" s="17"/>
    </row>
    <row r="20" spans="1:42" ht="27.75" customHeight="1" x14ac:dyDescent="0.2">
      <c r="A20" s="2"/>
      <c r="B20" s="2"/>
      <c r="C20" s="2"/>
      <c r="D20" s="2"/>
      <c r="E20" s="5"/>
      <c r="F20" s="2"/>
      <c r="G20" s="2"/>
      <c r="H20" s="20"/>
      <c r="I20" s="2"/>
      <c r="J20" s="18"/>
      <c r="K20" s="18"/>
      <c r="L20" s="2"/>
      <c r="M20" s="2"/>
      <c r="N20" s="2"/>
      <c r="O20" s="20"/>
      <c r="P20" s="2"/>
      <c r="Q20" s="18"/>
      <c r="R20" s="18"/>
      <c r="S20" s="2"/>
      <c r="T20" s="2"/>
      <c r="U20" s="2"/>
      <c r="V20" s="20"/>
      <c r="W20" s="2"/>
      <c r="X20" s="18"/>
      <c r="Y20" s="18"/>
      <c r="Z20" s="2"/>
      <c r="AA20" s="2"/>
      <c r="AB20" s="2"/>
      <c r="AC20" s="20"/>
      <c r="AD20" s="2"/>
      <c r="AE20" s="18"/>
      <c r="AF20" s="18"/>
      <c r="AG20" s="2"/>
      <c r="AH20" s="2"/>
      <c r="AI20" s="11">
        <f t="shared" si="0"/>
        <v>0</v>
      </c>
      <c r="AJ20" s="12">
        <f t="shared" si="1"/>
        <v>0</v>
      </c>
      <c r="AK20" s="13">
        <f t="shared" si="2"/>
        <v>0</v>
      </c>
      <c r="AL20" s="14">
        <f t="shared" si="3"/>
        <v>0</v>
      </c>
      <c r="AM20" s="14">
        <f t="shared" si="4"/>
        <v>0</v>
      </c>
      <c r="AN20" s="15">
        <f t="shared" si="5"/>
        <v>0</v>
      </c>
      <c r="AO20" s="16">
        <f t="shared" si="6"/>
        <v>0</v>
      </c>
      <c r="AP20" s="17"/>
    </row>
    <row r="21" spans="1:42" ht="27.75" customHeight="1" x14ac:dyDescent="0.2">
      <c r="A21" s="2"/>
      <c r="B21" s="2"/>
      <c r="C21" s="2"/>
      <c r="D21" s="2"/>
      <c r="E21" s="5"/>
      <c r="F21" s="2"/>
      <c r="G21" s="2"/>
      <c r="H21" s="20"/>
      <c r="I21" s="2"/>
      <c r="J21" s="18"/>
      <c r="K21" s="18"/>
      <c r="L21" s="2"/>
      <c r="M21" s="2"/>
      <c r="N21" s="2"/>
      <c r="O21" s="20"/>
      <c r="P21" s="2"/>
      <c r="Q21" s="18"/>
      <c r="R21" s="18"/>
      <c r="S21" s="2"/>
      <c r="T21" s="2"/>
      <c r="U21" s="2"/>
      <c r="V21" s="20"/>
      <c r="W21" s="2"/>
      <c r="X21" s="18"/>
      <c r="Y21" s="18"/>
      <c r="Z21" s="2"/>
      <c r="AA21" s="2"/>
      <c r="AB21" s="2"/>
      <c r="AC21" s="20"/>
      <c r="AD21" s="2"/>
      <c r="AE21" s="18"/>
      <c r="AF21" s="18"/>
      <c r="AG21" s="2"/>
      <c r="AH21" s="2"/>
      <c r="AI21" s="11">
        <f t="shared" si="0"/>
        <v>0</v>
      </c>
      <c r="AJ21" s="12">
        <f t="shared" si="1"/>
        <v>0</v>
      </c>
      <c r="AK21" s="13">
        <f t="shared" si="2"/>
        <v>0</v>
      </c>
      <c r="AL21" s="14">
        <f t="shared" si="3"/>
        <v>0</v>
      </c>
      <c r="AM21" s="14">
        <f t="shared" si="4"/>
        <v>0</v>
      </c>
      <c r="AN21" s="15">
        <f t="shared" si="5"/>
        <v>0</v>
      </c>
      <c r="AO21" s="16">
        <f t="shared" si="6"/>
        <v>0</v>
      </c>
      <c r="AP21" s="17"/>
    </row>
  </sheetData>
  <autoFilter ref="A1:AP1" xr:uid="{00000000-0001-0000-0200-000000000000}"/>
  <phoneticPr fontId="2"/>
  <conditionalFormatting sqref="E2:E15">
    <cfRule type="containsText" dxfId="81" priority="30" operator="containsText" text="せん">
      <formula>NOT(ISERROR(SEARCH("せん",E2)))</formula>
    </cfRule>
    <cfRule type="containsText" dxfId="80" priority="31" operator="containsText" text="セ">
      <formula>NOT(ISERROR(SEARCH("セ",E2)))</formula>
    </cfRule>
    <cfRule type="containsText" dxfId="79" priority="32" operator="containsText" text="牝">
      <formula>NOT(ISERROR(SEARCH("牝",E2)))</formula>
    </cfRule>
  </conditionalFormatting>
  <conditionalFormatting sqref="H2:H14 O2:O14 V2:V14 AC2:AC14">
    <cfRule type="containsText" dxfId="78" priority="17" operator="containsText" text="阪神">
      <formula>NOT(ISERROR(SEARCH("阪神",H2)))</formula>
    </cfRule>
  </conditionalFormatting>
  <conditionalFormatting sqref="J2:J15 Q2:Q15 X2:X15 AE2:AE15">
    <cfRule type="cellIs" dxfId="77" priority="19" operator="between">
      <formula>3</formula>
      <formula>4</formula>
    </cfRule>
    <cfRule type="cellIs" dxfId="76" priority="20" operator="equal">
      <formula>2</formula>
    </cfRule>
    <cfRule type="cellIs" dxfId="75" priority="21" operator="equal">
      <formula>1</formula>
    </cfRule>
  </conditionalFormatting>
  <conditionalFormatting sqref="K2:K15 R2:R15 Y2:Y15 AF2:AF15">
    <cfRule type="cellIs" dxfId="74" priority="18" operator="lessThanOrEqual">
      <formula>0.6</formula>
    </cfRule>
  </conditionalFormatting>
  <conditionalFormatting sqref="AI2:AI15">
    <cfRule type="top10" dxfId="73" priority="29" bottom="1" rank="4"/>
  </conditionalFormatting>
  <conditionalFormatting sqref="AJ2:AJ15">
    <cfRule type="top10" dxfId="72" priority="28" bottom="1" rank="4"/>
  </conditionalFormatting>
  <conditionalFormatting sqref="AK2:AK15">
    <cfRule type="top10" dxfId="71" priority="26" rank="4"/>
  </conditionalFormatting>
  <conditionalFormatting sqref="AL2:AN15">
    <cfRule type="top10" dxfId="70" priority="25" rank="4"/>
  </conditionalFormatting>
  <conditionalFormatting sqref="AO2:AO15">
    <cfRule type="top10" dxfId="69" priority="27" rank="4"/>
  </conditionalFormatting>
  <conditionalFormatting sqref="AP2:AP15">
    <cfRule type="containsText" dxfId="68" priority="22" operator="containsText" text="先行">
      <formula>NOT(ISERROR(SEARCH("先行",AP2)))</formula>
    </cfRule>
    <cfRule type="containsText" dxfId="67" priority="23" operator="containsText" text="逃げ">
      <formula>NOT(ISERROR(SEARCH("逃げ",AP2)))</formula>
    </cfRule>
    <cfRule type="containsText" dxfId="66" priority="24" operator="containsText" text="先行差し">
      <formula>NOT(ISERROR(SEARCH("先行差し",AP2)))</formula>
    </cfRule>
  </conditionalFormatting>
  <conditionalFormatting sqref="E16:E21">
    <cfRule type="containsText" dxfId="65" priority="14" operator="containsText" text="せん">
      <formula>NOT(ISERROR(SEARCH("せん",E16)))</formula>
    </cfRule>
    <cfRule type="containsText" dxfId="64" priority="15" operator="containsText" text="セ">
      <formula>NOT(ISERROR(SEARCH("セ",E16)))</formula>
    </cfRule>
    <cfRule type="containsText" dxfId="63" priority="16" operator="containsText" text="牝">
      <formula>NOT(ISERROR(SEARCH("牝",E16)))</formula>
    </cfRule>
  </conditionalFormatting>
  <conditionalFormatting sqref="H16:H21 O16:O21 V16:V21 AC16:AC21">
    <cfRule type="containsText" dxfId="62" priority="1" operator="containsText" text="中山">
      <formula>NOT(ISERROR(SEARCH("中山",H16)))</formula>
    </cfRule>
  </conditionalFormatting>
  <conditionalFormatting sqref="J16:J21 Q16:Q21 X16:X21 AE16:AE21">
    <cfRule type="cellIs" dxfId="61" priority="11" operator="between">
      <formula>3</formula>
      <formula>4</formula>
    </cfRule>
    <cfRule type="cellIs" dxfId="60" priority="12" operator="equal">
      <formula>2</formula>
    </cfRule>
    <cfRule type="cellIs" dxfId="59" priority="13" operator="equal">
      <formula>1</formula>
    </cfRule>
  </conditionalFormatting>
  <conditionalFormatting sqref="K16:K21 R16:R21 Y16:Y21 AF16:AF21">
    <cfRule type="cellIs" dxfId="58" priority="10" operator="lessThanOrEqual">
      <formula>0.6</formula>
    </cfRule>
  </conditionalFormatting>
  <conditionalFormatting sqref="AI16:AI21">
    <cfRule type="top10" dxfId="57" priority="9" bottom="1" rank="4"/>
  </conditionalFormatting>
  <conditionalFormatting sqref="AJ16:AJ21">
    <cfRule type="top10" dxfId="56" priority="8" bottom="1" rank="4"/>
  </conditionalFormatting>
  <conditionalFormatting sqref="AK16:AK21">
    <cfRule type="top10" dxfId="55" priority="6" rank="4"/>
  </conditionalFormatting>
  <conditionalFormatting sqref="AL16:AN21">
    <cfRule type="top10" dxfId="54" priority="5" rank="4"/>
  </conditionalFormatting>
  <conditionalFormatting sqref="AO16:AO21">
    <cfRule type="top10" dxfId="53" priority="7" rank="4"/>
  </conditionalFormatting>
  <conditionalFormatting sqref="AP16:AP21">
    <cfRule type="containsText" dxfId="52" priority="2" operator="containsText" text="先行">
      <formula>NOT(ISERROR(SEARCH("先行",AP16)))</formula>
    </cfRule>
    <cfRule type="containsText" dxfId="51" priority="3" operator="containsText" text="逃げ">
      <formula>NOT(ISERROR(SEARCH("逃げ",AP16)))</formula>
    </cfRule>
    <cfRule type="containsText" dxfId="50" priority="4" operator="containsText" text="先行差し">
      <formula>NOT(ISERROR(SEARCH("先行差し",AP16)))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2"/>
  <sheetViews>
    <sheetView zoomScale="70" zoomScaleNormal="70" workbookViewId="0">
      <pane xSplit="6" ySplit="1" topLeftCell="G6" activePane="bottomRight" state="frozen"/>
      <selection pane="topRight" activeCell="G1" sqref="G1"/>
      <selection pane="bottomLeft" activeCell="A2" sqref="A2"/>
      <selection pane="bottomRight" activeCell="A21" sqref="A21:XFD21"/>
    </sheetView>
  </sheetViews>
  <sheetFormatPr defaultRowHeight="13.5" x14ac:dyDescent="0.15"/>
  <cols>
    <col min="1" max="3" width="5.25" customWidth="1"/>
    <col min="4" max="4" width="16.5" customWidth="1"/>
    <col min="5" max="5" width="7.5" customWidth="1"/>
    <col min="6" max="6" width="7.625" customWidth="1"/>
    <col min="24" max="25" width="5" customWidth="1"/>
    <col min="26" max="26" width="11.875" customWidth="1"/>
    <col min="27" max="27" width="5.75" customWidth="1"/>
    <col min="29" max="29" width="5.875" customWidth="1"/>
    <col min="30" max="30" width="7.625" customWidth="1"/>
    <col min="31" max="32" width="5.25" customWidth="1"/>
    <col min="33" max="33" width="12.25" customWidth="1"/>
    <col min="34" max="34" width="6.375" customWidth="1"/>
    <col min="35" max="35" width="7.875" customWidth="1"/>
    <col min="36" max="36" width="5.75" customWidth="1"/>
    <col min="37" max="40" width="4.375" customWidth="1"/>
    <col min="41" max="41" width="6.125" customWidth="1"/>
    <col min="42" max="42" width="11.125" customWidth="1"/>
  </cols>
  <sheetData>
    <row r="1" spans="1:42" x14ac:dyDescent="0.15">
      <c r="A1" s="3" t="s">
        <v>32</v>
      </c>
      <c r="B1" s="4" t="s">
        <v>0</v>
      </c>
      <c r="C1" s="4" t="s">
        <v>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34</v>
      </c>
      <c r="AJ1" s="7" t="s">
        <v>35</v>
      </c>
      <c r="AK1" s="6" t="s">
        <v>36</v>
      </c>
      <c r="AL1" s="8" t="s">
        <v>37</v>
      </c>
      <c r="AM1" s="8" t="s">
        <v>38</v>
      </c>
      <c r="AN1" s="7" t="s">
        <v>39</v>
      </c>
      <c r="AO1" s="9" t="s">
        <v>40</v>
      </c>
      <c r="AP1" s="10" t="s">
        <v>41</v>
      </c>
    </row>
    <row r="2" spans="1:42" ht="25.5" customHeight="1" x14ac:dyDescent="0.2">
      <c r="A2" s="2"/>
      <c r="B2" s="2">
        <v>1</v>
      </c>
      <c r="C2" s="2"/>
      <c r="D2" s="2" t="s">
        <v>66</v>
      </c>
      <c r="E2" s="5" t="s">
        <v>59</v>
      </c>
      <c r="F2" s="2" t="s">
        <v>67</v>
      </c>
      <c r="G2" s="2" t="s">
        <v>68</v>
      </c>
      <c r="H2" s="20" t="s">
        <v>47</v>
      </c>
      <c r="I2" s="2" t="s">
        <v>60</v>
      </c>
      <c r="J2" s="18">
        <v>10</v>
      </c>
      <c r="K2" s="18">
        <v>0.8</v>
      </c>
      <c r="L2" s="2" t="s">
        <v>69</v>
      </c>
      <c r="M2" s="2">
        <v>37.700000000000003</v>
      </c>
      <c r="N2" s="2" t="s">
        <v>70</v>
      </c>
      <c r="O2" s="20" t="s">
        <v>43</v>
      </c>
      <c r="P2" s="2" t="s">
        <v>52</v>
      </c>
      <c r="Q2" s="18">
        <v>6</v>
      </c>
      <c r="R2" s="18">
        <v>0.6</v>
      </c>
      <c r="S2" s="2" t="s">
        <v>61</v>
      </c>
      <c r="T2" s="2">
        <v>35.9</v>
      </c>
      <c r="U2" s="2" t="s">
        <v>71</v>
      </c>
      <c r="V2" s="20" t="s">
        <v>47</v>
      </c>
      <c r="W2" s="2" t="s">
        <v>52</v>
      </c>
      <c r="X2" s="18">
        <v>6</v>
      </c>
      <c r="Y2" s="18">
        <v>0.6</v>
      </c>
      <c r="Z2" s="2" t="s">
        <v>72</v>
      </c>
      <c r="AA2" s="2">
        <v>35.9</v>
      </c>
      <c r="AB2" s="2" t="s">
        <v>58</v>
      </c>
      <c r="AC2" s="20" t="s">
        <v>43</v>
      </c>
      <c r="AD2" s="2" t="s">
        <v>52</v>
      </c>
      <c r="AE2" s="18">
        <v>1</v>
      </c>
      <c r="AF2" s="18">
        <v>-0.3</v>
      </c>
      <c r="AG2" s="2" t="s">
        <v>73</v>
      </c>
      <c r="AH2" s="2">
        <v>35.6</v>
      </c>
      <c r="AI2" s="11">
        <f t="shared" ref="AI2:AI15" si="0">MIN(AH2,AA2,T2,M2)</f>
        <v>35.6</v>
      </c>
      <c r="AJ2" s="12">
        <f t="shared" ref="AJ2:AJ15" si="1">SUM(K2,R2,Y2,AF2)</f>
        <v>1.7</v>
      </c>
      <c r="AK2" s="13">
        <f t="shared" ref="AK2:AK15" si="2">COUNTIF(AE2,1)+COUNTIF(X2,1)+COUNTIF(Q2,1)+COUNTIF(J2,1)</f>
        <v>1</v>
      </c>
      <c r="AL2" s="14">
        <f t="shared" ref="AL2:AL15" si="3">COUNTIF(AE2,2)+COUNTIF(X2,2)+COUNTIF(Q2,2)+COUNTIF(J2,2)</f>
        <v>0</v>
      </c>
      <c r="AM2" s="14">
        <f t="shared" ref="AM2:AM15" si="4">COUNTIF(AE2,3)+COUNTIF(X2,3)+COUNTIF(Q2,3)+COUNTIF(J2,3)</f>
        <v>0</v>
      </c>
      <c r="AN2" s="15">
        <f t="shared" ref="AN2:AN15" si="5">COUNTIF(AE2,4)+COUNTIF(X2,4)+COUNTIF(Q2,4)+COUNTIF(J2,4)</f>
        <v>0</v>
      </c>
      <c r="AO2" s="16">
        <f t="shared" ref="AO2:AO15" si="6">SUM(AK2:AN2)</f>
        <v>1</v>
      </c>
      <c r="AP2" s="17"/>
    </row>
    <row r="3" spans="1:42" ht="25.5" customHeight="1" x14ac:dyDescent="0.2">
      <c r="A3" s="2"/>
      <c r="B3" s="2">
        <v>2</v>
      </c>
      <c r="C3" s="2"/>
      <c r="D3" s="2" t="s">
        <v>74</v>
      </c>
      <c r="E3" s="5" t="s">
        <v>75</v>
      </c>
      <c r="F3" s="2" t="s">
        <v>51</v>
      </c>
      <c r="G3" s="2" t="s">
        <v>76</v>
      </c>
      <c r="H3" s="20" t="s">
        <v>48</v>
      </c>
      <c r="I3" s="2" t="s">
        <v>56</v>
      </c>
      <c r="J3" s="18">
        <v>14</v>
      </c>
      <c r="K3" s="18">
        <v>3.7</v>
      </c>
      <c r="L3" s="2" t="s">
        <v>77</v>
      </c>
      <c r="M3" s="2">
        <v>39.9</v>
      </c>
      <c r="N3" s="2" t="s">
        <v>78</v>
      </c>
      <c r="O3" s="20" t="s">
        <v>42</v>
      </c>
      <c r="P3" s="2" t="s">
        <v>52</v>
      </c>
      <c r="Q3" s="18">
        <v>2</v>
      </c>
      <c r="R3" s="18">
        <v>0.1</v>
      </c>
      <c r="S3" s="2" t="s">
        <v>79</v>
      </c>
      <c r="T3" s="2">
        <v>38.6</v>
      </c>
      <c r="U3" s="2" t="s">
        <v>62</v>
      </c>
      <c r="V3" s="20" t="s">
        <v>42</v>
      </c>
      <c r="W3" s="2" t="s">
        <v>63</v>
      </c>
      <c r="X3" s="18">
        <v>9</v>
      </c>
      <c r="Y3" s="18">
        <v>0.8</v>
      </c>
      <c r="Z3" s="2" t="s">
        <v>80</v>
      </c>
      <c r="AA3" s="2">
        <v>34.700000000000003</v>
      </c>
      <c r="AB3" s="2" t="s">
        <v>65</v>
      </c>
      <c r="AC3" s="20" t="s">
        <v>44</v>
      </c>
      <c r="AD3" s="2" t="s">
        <v>45</v>
      </c>
      <c r="AE3" s="18">
        <v>5</v>
      </c>
      <c r="AF3" s="18">
        <v>0.3</v>
      </c>
      <c r="AG3" s="2" t="s">
        <v>49</v>
      </c>
      <c r="AH3" s="2">
        <v>34.4</v>
      </c>
      <c r="AI3" s="11">
        <f t="shared" si="0"/>
        <v>34.4</v>
      </c>
      <c r="AJ3" s="12">
        <f t="shared" si="1"/>
        <v>4.9000000000000004</v>
      </c>
      <c r="AK3" s="13">
        <f t="shared" si="2"/>
        <v>0</v>
      </c>
      <c r="AL3" s="14">
        <f t="shared" si="3"/>
        <v>1</v>
      </c>
      <c r="AM3" s="14">
        <f t="shared" si="4"/>
        <v>0</v>
      </c>
      <c r="AN3" s="15">
        <f t="shared" si="5"/>
        <v>0</v>
      </c>
      <c r="AO3" s="16">
        <f t="shared" si="6"/>
        <v>1</v>
      </c>
      <c r="AP3" s="17"/>
    </row>
    <row r="4" spans="1:42" ht="25.5" customHeight="1" x14ac:dyDescent="0.2">
      <c r="A4" s="2"/>
      <c r="B4" s="2">
        <v>3</v>
      </c>
      <c r="C4" s="2"/>
      <c r="D4" s="2" t="s">
        <v>81</v>
      </c>
      <c r="E4" s="5" t="s">
        <v>82</v>
      </c>
      <c r="F4" s="2" t="s">
        <v>83</v>
      </c>
      <c r="G4" s="2" t="s">
        <v>84</v>
      </c>
      <c r="H4" s="20" t="s">
        <v>42</v>
      </c>
      <c r="I4" s="2" t="s">
        <v>52</v>
      </c>
      <c r="J4" s="18">
        <v>9</v>
      </c>
      <c r="K4" s="18">
        <v>0.9</v>
      </c>
      <c r="L4" s="2" t="s">
        <v>85</v>
      </c>
      <c r="M4" s="2">
        <v>38.200000000000003</v>
      </c>
      <c r="N4" s="2" t="s">
        <v>86</v>
      </c>
      <c r="O4" s="20" t="s">
        <v>42</v>
      </c>
      <c r="P4" s="2" t="s">
        <v>52</v>
      </c>
      <c r="Q4" s="18">
        <v>5</v>
      </c>
      <c r="R4" s="18">
        <v>1.4</v>
      </c>
      <c r="S4" s="2" t="s">
        <v>87</v>
      </c>
      <c r="T4" s="2">
        <v>38.299999999999997</v>
      </c>
      <c r="U4" s="2" t="s">
        <v>88</v>
      </c>
      <c r="V4" s="20" t="s">
        <v>53</v>
      </c>
      <c r="W4" s="2" t="s">
        <v>56</v>
      </c>
      <c r="X4" s="18">
        <v>4</v>
      </c>
      <c r="Y4" s="18">
        <v>0.1</v>
      </c>
      <c r="Z4" s="2" t="s">
        <v>89</v>
      </c>
      <c r="AA4" s="2">
        <v>37.299999999999997</v>
      </c>
      <c r="AB4" s="2" t="s">
        <v>90</v>
      </c>
      <c r="AC4" s="20" t="s">
        <v>44</v>
      </c>
      <c r="AD4" s="2" t="s">
        <v>55</v>
      </c>
      <c r="AE4" s="18">
        <v>5</v>
      </c>
      <c r="AF4" s="18">
        <v>1.3</v>
      </c>
      <c r="AG4" s="2" t="s">
        <v>46</v>
      </c>
      <c r="AH4" s="2">
        <v>35.299999999999997</v>
      </c>
      <c r="AI4" s="11">
        <f t="shared" si="0"/>
        <v>35.299999999999997</v>
      </c>
      <c r="AJ4" s="12">
        <f t="shared" si="1"/>
        <v>3.7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1</v>
      </c>
      <c r="AO4" s="16">
        <f t="shared" si="6"/>
        <v>1</v>
      </c>
      <c r="AP4" s="17"/>
    </row>
    <row r="5" spans="1:42" ht="25.5" customHeight="1" x14ac:dyDescent="0.2">
      <c r="A5" s="2"/>
      <c r="B5" s="2">
        <v>4</v>
      </c>
      <c r="C5" s="2"/>
      <c r="D5" s="2" t="s">
        <v>91</v>
      </c>
      <c r="E5" s="5" t="s">
        <v>54</v>
      </c>
      <c r="F5" s="2" t="s">
        <v>50</v>
      </c>
      <c r="G5" s="2" t="s">
        <v>84</v>
      </c>
      <c r="H5" s="20" t="s">
        <v>42</v>
      </c>
      <c r="I5" s="2" t="s">
        <v>52</v>
      </c>
      <c r="J5" s="18">
        <v>1</v>
      </c>
      <c r="K5" s="18">
        <v>0</v>
      </c>
      <c r="L5" s="2" t="s">
        <v>92</v>
      </c>
      <c r="M5" s="2">
        <v>37.9</v>
      </c>
      <c r="N5" s="2" t="s">
        <v>86</v>
      </c>
      <c r="O5" s="20" t="s">
        <v>42</v>
      </c>
      <c r="P5" s="2" t="s">
        <v>52</v>
      </c>
      <c r="Q5" s="18">
        <v>4</v>
      </c>
      <c r="R5" s="18">
        <v>1.2</v>
      </c>
      <c r="S5" s="2" t="s">
        <v>93</v>
      </c>
      <c r="T5" s="2">
        <v>37.6</v>
      </c>
      <c r="U5" s="2" t="s">
        <v>94</v>
      </c>
      <c r="V5" s="20" t="s">
        <v>44</v>
      </c>
      <c r="W5" s="2" t="s">
        <v>57</v>
      </c>
      <c r="X5" s="18">
        <v>5</v>
      </c>
      <c r="Y5" s="18">
        <v>0.7</v>
      </c>
      <c r="Z5" s="2" t="s">
        <v>95</v>
      </c>
      <c r="AA5" s="2">
        <v>37</v>
      </c>
      <c r="AB5" s="2" t="s">
        <v>64</v>
      </c>
      <c r="AC5" s="20" t="s">
        <v>42</v>
      </c>
      <c r="AD5" s="2" t="s">
        <v>52</v>
      </c>
      <c r="AE5" s="18">
        <v>3</v>
      </c>
      <c r="AF5" s="18">
        <v>0.6</v>
      </c>
      <c r="AG5" s="2" t="s">
        <v>96</v>
      </c>
      <c r="AH5" s="2">
        <v>36.799999999999997</v>
      </c>
      <c r="AI5" s="11">
        <f t="shared" si="0"/>
        <v>36.799999999999997</v>
      </c>
      <c r="AJ5" s="12">
        <f t="shared" si="1"/>
        <v>2.5</v>
      </c>
      <c r="AK5" s="13">
        <f t="shared" si="2"/>
        <v>1</v>
      </c>
      <c r="AL5" s="14">
        <f t="shared" si="3"/>
        <v>0</v>
      </c>
      <c r="AM5" s="14">
        <f t="shared" si="4"/>
        <v>1</v>
      </c>
      <c r="AN5" s="15">
        <f t="shared" si="5"/>
        <v>1</v>
      </c>
      <c r="AO5" s="16">
        <f t="shared" si="6"/>
        <v>3</v>
      </c>
      <c r="AP5" s="17"/>
    </row>
    <row r="6" spans="1:42" ht="25.5" customHeight="1" x14ac:dyDescent="0.2">
      <c r="A6" s="2"/>
      <c r="B6" s="2"/>
      <c r="C6" s="2"/>
      <c r="D6" s="2"/>
      <c r="E6" s="5"/>
      <c r="F6" s="2"/>
      <c r="G6" s="2"/>
      <c r="H6" s="20"/>
      <c r="I6" s="2"/>
      <c r="J6" s="18"/>
      <c r="K6" s="18"/>
      <c r="L6" s="2"/>
      <c r="M6" s="2"/>
      <c r="N6" s="2"/>
      <c r="O6" s="20"/>
      <c r="P6" s="2"/>
      <c r="Q6" s="18"/>
      <c r="R6" s="18"/>
      <c r="S6" s="2"/>
      <c r="T6" s="2"/>
      <c r="U6" s="2"/>
      <c r="V6" s="20"/>
      <c r="W6" s="2"/>
      <c r="X6" s="18"/>
      <c r="Y6" s="18"/>
      <c r="Z6" s="2"/>
      <c r="AA6" s="2"/>
      <c r="AB6" s="2"/>
      <c r="AC6" s="20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</row>
    <row r="7" spans="1:42" ht="25.5" customHeight="1" x14ac:dyDescent="0.2">
      <c r="A7" s="2"/>
      <c r="B7" s="2"/>
      <c r="C7" s="2"/>
      <c r="D7" s="2"/>
      <c r="E7" s="5"/>
      <c r="F7" s="2"/>
      <c r="G7" s="2"/>
      <c r="H7" s="20"/>
      <c r="I7" s="2"/>
      <c r="J7" s="18"/>
      <c r="K7" s="18"/>
      <c r="L7" s="2"/>
      <c r="M7" s="2"/>
      <c r="N7" s="2"/>
      <c r="O7" s="20"/>
      <c r="P7" s="2"/>
      <c r="Q7" s="18"/>
      <c r="R7" s="18"/>
      <c r="S7" s="2"/>
      <c r="T7" s="2"/>
      <c r="U7" s="2"/>
      <c r="V7" s="20"/>
      <c r="W7" s="2"/>
      <c r="X7" s="18"/>
      <c r="Y7" s="18"/>
      <c r="Z7" s="2"/>
      <c r="AA7" s="2"/>
      <c r="AB7" s="2"/>
      <c r="AC7" s="20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</row>
    <row r="8" spans="1:42" ht="25.5" customHeight="1" x14ac:dyDescent="0.2">
      <c r="A8" s="2"/>
      <c r="B8" s="2"/>
      <c r="C8" s="2"/>
      <c r="D8" s="2"/>
      <c r="E8" s="5"/>
      <c r="F8" s="2"/>
      <c r="G8" s="2"/>
      <c r="H8" s="20"/>
      <c r="I8" s="2"/>
      <c r="J8" s="18"/>
      <c r="K8" s="18"/>
      <c r="L8" s="2"/>
      <c r="M8" s="2"/>
      <c r="N8" s="2"/>
      <c r="O8" s="20"/>
      <c r="P8" s="2"/>
      <c r="Q8" s="18"/>
      <c r="R8" s="18"/>
      <c r="S8" s="2"/>
      <c r="T8" s="2"/>
      <c r="U8" s="2"/>
      <c r="V8" s="20"/>
      <c r="W8" s="2"/>
      <c r="X8" s="18"/>
      <c r="Y8" s="18"/>
      <c r="Z8" s="2"/>
      <c r="AA8" s="2"/>
      <c r="AB8" s="2"/>
      <c r="AC8" s="20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</row>
    <row r="9" spans="1:42" ht="25.5" customHeight="1" x14ac:dyDescent="0.2">
      <c r="A9" s="2"/>
      <c r="B9" s="2"/>
      <c r="C9" s="2"/>
      <c r="D9" s="2"/>
      <c r="E9" s="5"/>
      <c r="F9" s="2"/>
      <c r="G9" s="2"/>
      <c r="H9" s="20"/>
      <c r="I9" s="2"/>
      <c r="J9" s="18"/>
      <c r="K9" s="18"/>
      <c r="L9" s="2"/>
      <c r="M9" s="2"/>
      <c r="N9" s="2"/>
      <c r="O9" s="20"/>
      <c r="P9" s="2"/>
      <c r="Q9" s="18"/>
      <c r="R9" s="18"/>
      <c r="S9" s="2"/>
      <c r="T9" s="2"/>
      <c r="U9" s="2"/>
      <c r="V9" s="20"/>
      <c r="W9" s="2"/>
      <c r="X9" s="18"/>
      <c r="Y9" s="18"/>
      <c r="Z9" s="2"/>
      <c r="AA9" s="2"/>
      <c r="AB9" s="2"/>
      <c r="AC9" s="20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</row>
    <row r="10" spans="1:42" ht="25.5" customHeight="1" x14ac:dyDescent="0.2">
      <c r="A10" s="2"/>
      <c r="B10" s="2"/>
      <c r="C10" s="2"/>
      <c r="D10" s="2"/>
      <c r="E10" s="5"/>
      <c r="F10" s="2"/>
      <c r="G10" s="2"/>
      <c r="H10" s="20"/>
      <c r="I10" s="2"/>
      <c r="J10" s="18"/>
      <c r="K10" s="18"/>
      <c r="L10" s="2"/>
      <c r="M10" s="2"/>
      <c r="N10" s="2"/>
      <c r="O10" s="20"/>
      <c r="P10" s="2"/>
      <c r="Q10" s="18"/>
      <c r="R10" s="18"/>
      <c r="S10" s="2"/>
      <c r="T10" s="2"/>
      <c r="U10" s="2"/>
      <c r="V10" s="20"/>
      <c r="W10" s="2"/>
      <c r="X10" s="18"/>
      <c r="Y10" s="18"/>
      <c r="Z10" s="2"/>
      <c r="AA10" s="2"/>
      <c r="AB10" s="2"/>
      <c r="AC10" s="20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</row>
    <row r="11" spans="1:42" ht="25.5" customHeight="1" x14ac:dyDescent="0.2">
      <c r="A11" s="2"/>
      <c r="B11" s="2"/>
      <c r="C11" s="2"/>
      <c r="D11" s="2"/>
      <c r="E11" s="5"/>
      <c r="F11" s="2"/>
      <c r="G11" s="2"/>
      <c r="H11" s="20"/>
      <c r="I11" s="2"/>
      <c r="J11" s="18"/>
      <c r="K11" s="18"/>
      <c r="L11" s="2"/>
      <c r="M11" s="2"/>
      <c r="N11" s="2"/>
      <c r="O11" s="20"/>
      <c r="P11" s="2"/>
      <c r="Q11" s="18"/>
      <c r="R11" s="18"/>
      <c r="S11" s="2"/>
      <c r="T11" s="2"/>
      <c r="U11" s="2"/>
      <c r="V11" s="20"/>
      <c r="W11" s="2"/>
      <c r="X11" s="18"/>
      <c r="Y11" s="18"/>
      <c r="Z11" s="2"/>
      <c r="AA11" s="2"/>
      <c r="AB11" s="2"/>
      <c r="AC11" s="20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</row>
    <row r="12" spans="1:42" ht="25.5" customHeight="1" x14ac:dyDescent="0.2">
      <c r="A12" s="2"/>
      <c r="B12" s="2"/>
      <c r="C12" s="2"/>
      <c r="D12" s="2"/>
      <c r="E12" s="5"/>
      <c r="F12" s="2"/>
      <c r="G12" s="2"/>
      <c r="H12" s="20"/>
      <c r="I12" s="2"/>
      <c r="J12" s="18"/>
      <c r="K12" s="18"/>
      <c r="L12" s="2"/>
      <c r="M12" s="2"/>
      <c r="N12" s="2"/>
      <c r="O12" s="20"/>
      <c r="P12" s="2"/>
      <c r="Q12" s="18"/>
      <c r="R12" s="18"/>
      <c r="S12" s="2"/>
      <c r="T12" s="2"/>
      <c r="U12" s="2"/>
      <c r="V12" s="20"/>
      <c r="W12" s="2"/>
      <c r="X12" s="18"/>
      <c r="Y12" s="18"/>
      <c r="Z12" s="2"/>
      <c r="AA12" s="2"/>
      <c r="AB12" s="2"/>
      <c r="AC12" s="20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</row>
    <row r="13" spans="1:42" ht="25.5" customHeight="1" x14ac:dyDescent="0.2">
      <c r="A13" s="2"/>
      <c r="B13" s="2"/>
      <c r="C13" s="2"/>
      <c r="D13" s="2"/>
      <c r="E13" s="5"/>
      <c r="F13" s="2"/>
      <c r="G13" s="2"/>
      <c r="H13" s="20"/>
      <c r="I13" s="2"/>
      <c r="J13" s="18"/>
      <c r="K13" s="18"/>
      <c r="L13" s="2"/>
      <c r="M13" s="2"/>
      <c r="N13" s="2"/>
      <c r="O13" s="20"/>
      <c r="P13" s="2"/>
      <c r="Q13" s="18"/>
      <c r="R13" s="18"/>
      <c r="S13" s="2"/>
      <c r="T13" s="2"/>
      <c r="U13" s="2"/>
      <c r="V13" s="20"/>
      <c r="W13" s="2"/>
      <c r="X13" s="18"/>
      <c r="Y13" s="18"/>
      <c r="Z13" s="2"/>
      <c r="AA13" s="2"/>
      <c r="AB13" s="2"/>
      <c r="AC13" s="20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</row>
    <row r="14" spans="1:42" ht="25.5" customHeight="1" x14ac:dyDescent="0.2">
      <c r="A14" s="2"/>
      <c r="B14" s="2"/>
      <c r="C14" s="2"/>
      <c r="D14" s="2"/>
      <c r="E14" s="5"/>
      <c r="F14" s="2"/>
      <c r="G14" s="2"/>
      <c r="H14" s="20"/>
      <c r="I14" s="2"/>
      <c r="J14" s="18"/>
      <c r="K14" s="18"/>
      <c r="L14" s="2"/>
      <c r="M14" s="2"/>
      <c r="N14" s="2"/>
      <c r="O14" s="20"/>
      <c r="P14" s="2"/>
      <c r="Q14" s="18"/>
      <c r="R14" s="18"/>
      <c r="S14" s="2"/>
      <c r="T14" s="2"/>
      <c r="U14" s="2"/>
      <c r="V14" s="20"/>
      <c r="W14" s="2"/>
      <c r="X14" s="18"/>
      <c r="Y14" s="18"/>
      <c r="Z14" s="2"/>
      <c r="AA14" s="2"/>
      <c r="AB14" s="2"/>
      <c r="AC14" s="20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</row>
    <row r="15" spans="1:42" ht="25.5" customHeight="1" x14ac:dyDescent="0.2">
      <c r="A15" s="2"/>
      <c r="B15" s="2"/>
      <c r="C15" s="2"/>
      <c r="D15" s="2"/>
      <c r="E15" s="5"/>
      <c r="F15" s="2"/>
      <c r="G15" s="2"/>
      <c r="H15" s="20"/>
      <c r="I15" s="2"/>
      <c r="J15" s="18"/>
      <c r="K15" s="18"/>
      <c r="L15" s="2"/>
      <c r="M15" s="2"/>
      <c r="N15" s="2"/>
      <c r="O15" s="20"/>
      <c r="P15" s="2"/>
      <c r="Q15" s="18"/>
      <c r="R15" s="18"/>
      <c r="S15" s="2"/>
      <c r="T15" s="2"/>
      <c r="U15" s="2"/>
      <c r="V15" s="20"/>
      <c r="W15" s="2"/>
      <c r="X15" s="18"/>
      <c r="Y15" s="18"/>
      <c r="Z15" s="2"/>
      <c r="AA15" s="2"/>
      <c r="AB15" s="2"/>
      <c r="AC15" s="20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</row>
    <row r="16" spans="1:42" ht="25.5" customHeight="1" x14ac:dyDescent="0.2">
      <c r="A16" s="2"/>
      <c r="B16" s="2"/>
      <c r="C16" s="2"/>
      <c r="D16" s="2"/>
      <c r="E16" s="5"/>
      <c r="F16" s="2"/>
      <c r="G16" s="2"/>
      <c r="H16" s="20"/>
      <c r="I16" s="2"/>
      <c r="J16" s="18"/>
      <c r="K16" s="18"/>
      <c r="L16" s="2"/>
      <c r="M16" s="2"/>
      <c r="N16" s="2"/>
      <c r="O16" s="20"/>
      <c r="P16" s="2"/>
      <c r="Q16" s="18"/>
      <c r="R16" s="18"/>
      <c r="S16" s="2"/>
      <c r="T16" s="2"/>
      <c r="U16" s="2"/>
      <c r="V16" s="20"/>
      <c r="W16" s="2"/>
      <c r="X16" s="18"/>
      <c r="Y16" s="18"/>
      <c r="Z16" s="2"/>
      <c r="AA16" s="2"/>
      <c r="AB16" s="2"/>
      <c r="AC16" s="20"/>
      <c r="AD16" s="2"/>
      <c r="AE16" s="18"/>
      <c r="AF16" s="18"/>
      <c r="AG16" s="2"/>
      <c r="AH16" s="2"/>
      <c r="AI16" s="11">
        <f t="shared" ref="AI16:AI21" si="7">MIN(AH16,AA16,T16,M16)</f>
        <v>0</v>
      </c>
      <c r="AJ16" s="12">
        <f t="shared" ref="AJ16:AJ21" si="8">SUM(K16,R16,Y16,AF16)</f>
        <v>0</v>
      </c>
      <c r="AK16" s="13">
        <f t="shared" ref="AK16:AK21" si="9">COUNTIF(AE16,1)+COUNTIF(X16,1)+COUNTIF(Q16,1)+COUNTIF(J16,1)</f>
        <v>0</v>
      </c>
      <c r="AL16" s="14">
        <f t="shared" ref="AL16:AL21" si="10">COUNTIF(AE16,2)+COUNTIF(X16,2)+COUNTIF(Q16,2)+COUNTIF(J16,2)</f>
        <v>0</v>
      </c>
      <c r="AM16" s="14">
        <f t="shared" ref="AM16:AM21" si="11">COUNTIF(AE16,3)+COUNTIF(X16,3)+COUNTIF(Q16,3)+COUNTIF(J16,3)</f>
        <v>0</v>
      </c>
      <c r="AN16" s="15">
        <f t="shared" ref="AN16:AN21" si="12">COUNTIF(AE16,4)+COUNTIF(X16,4)+COUNTIF(Q16,4)+COUNTIF(J16,4)</f>
        <v>0</v>
      </c>
      <c r="AO16" s="16">
        <f t="shared" ref="AO16:AO21" si="13">SUM(AK16:AN16)</f>
        <v>0</v>
      </c>
      <c r="AP16" s="17"/>
    </row>
    <row r="17" spans="1:42" ht="25.5" customHeight="1" x14ac:dyDescent="0.2">
      <c r="A17" s="2"/>
      <c r="B17" s="2"/>
      <c r="C17" s="2"/>
      <c r="D17" s="2"/>
      <c r="E17" s="5"/>
      <c r="F17" s="2"/>
      <c r="G17" s="2"/>
      <c r="H17" s="20"/>
      <c r="I17" s="2"/>
      <c r="J17" s="18"/>
      <c r="K17" s="18"/>
      <c r="L17" s="2"/>
      <c r="M17" s="2"/>
      <c r="N17" s="2"/>
      <c r="O17" s="20"/>
      <c r="P17" s="2"/>
      <c r="Q17" s="18"/>
      <c r="R17" s="18"/>
      <c r="S17" s="2"/>
      <c r="T17" s="2"/>
      <c r="U17" s="2"/>
      <c r="V17" s="20"/>
      <c r="W17" s="2"/>
      <c r="X17" s="18"/>
      <c r="Y17" s="18"/>
      <c r="Z17" s="2"/>
      <c r="AA17" s="2"/>
      <c r="AB17" s="2"/>
      <c r="AC17" s="20"/>
      <c r="AD17" s="2"/>
      <c r="AE17" s="18"/>
      <c r="AF17" s="18"/>
      <c r="AG17" s="2"/>
      <c r="AH17" s="2"/>
      <c r="AI17" s="11">
        <f t="shared" si="7"/>
        <v>0</v>
      </c>
      <c r="AJ17" s="12">
        <f t="shared" si="8"/>
        <v>0</v>
      </c>
      <c r="AK17" s="13">
        <f t="shared" si="9"/>
        <v>0</v>
      </c>
      <c r="AL17" s="14">
        <f t="shared" si="10"/>
        <v>0</v>
      </c>
      <c r="AM17" s="14">
        <f t="shared" si="11"/>
        <v>0</v>
      </c>
      <c r="AN17" s="15">
        <f t="shared" si="12"/>
        <v>0</v>
      </c>
      <c r="AO17" s="16">
        <f t="shared" si="13"/>
        <v>0</v>
      </c>
      <c r="AP17" s="17"/>
    </row>
    <row r="18" spans="1:42" ht="25.5" customHeight="1" x14ac:dyDescent="0.2">
      <c r="A18" s="2"/>
      <c r="B18" s="2"/>
      <c r="C18" s="2"/>
      <c r="D18" s="2"/>
      <c r="E18" s="5"/>
      <c r="F18" s="2"/>
      <c r="G18" s="2"/>
      <c r="H18" s="20"/>
      <c r="I18" s="2"/>
      <c r="J18" s="18"/>
      <c r="K18" s="18"/>
      <c r="L18" s="2"/>
      <c r="M18" s="2"/>
      <c r="N18" s="2"/>
      <c r="O18" s="20"/>
      <c r="P18" s="2"/>
      <c r="Q18" s="18"/>
      <c r="R18" s="18"/>
      <c r="S18" s="2"/>
      <c r="T18" s="2"/>
      <c r="U18" s="2"/>
      <c r="V18" s="20"/>
      <c r="W18" s="2"/>
      <c r="X18" s="18"/>
      <c r="Y18" s="18"/>
      <c r="Z18" s="2"/>
      <c r="AA18" s="2"/>
      <c r="AB18" s="2"/>
      <c r="AC18" s="20"/>
      <c r="AD18" s="2"/>
      <c r="AE18" s="18"/>
      <c r="AF18" s="18"/>
      <c r="AG18" s="2"/>
      <c r="AH18" s="2"/>
      <c r="AI18" s="11">
        <f t="shared" si="7"/>
        <v>0</v>
      </c>
      <c r="AJ18" s="12">
        <f t="shared" si="8"/>
        <v>0</v>
      </c>
      <c r="AK18" s="13">
        <f t="shared" si="9"/>
        <v>0</v>
      </c>
      <c r="AL18" s="14">
        <f t="shared" si="10"/>
        <v>0</v>
      </c>
      <c r="AM18" s="14">
        <f t="shared" si="11"/>
        <v>0</v>
      </c>
      <c r="AN18" s="15">
        <f t="shared" si="12"/>
        <v>0</v>
      </c>
      <c r="AO18" s="16">
        <f t="shared" si="13"/>
        <v>0</v>
      </c>
      <c r="AP18" s="17"/>
    </row>
    <row r="19" spans="1:42" ht="25.5" customHeight="1" x14ac:dyDescent="0.2">
      <c r="A19" s="2"/>
      <c r="B19" s="2"/>
      <c r="C19" s="2"/>
      <c r="D19" s="2"/>
      <c r="E19" s="5"/>
      <c r="F19" s="2"/>
      <c r="G19" s="2"/>
      <c r="H19" s="20"/>
      <c r="I19" s="2"/>
      <c r="J19" s="18"/>
      <c r="K19" s="18"/>
      <c r="L19" s="2"/>
      <c r="M19" s="2"/>
      <c r="N19" s="2"/>
      <c r="O19" s="20"/>
      <c r="P19" s="2"/>
      <c r="Q19" s="18"/>
      <c r="R19" s="18"/>
      <c r="S19" s="2"/>
      <c r="T19" s="2"/>
      <c r="U19" s="2"/>
      <c r="V19" s="20"/>
      <c r="W19" s="2"/>
      <c r="X19" s="18"/>
      <c r="Y19" s="18"/>
      <c r="Z19" s="2"/>
      <c r="AA19" s="2"/>
      <c r="AB19" s="2"/>
      <c r="AC19" s="20"/>
      <c r="AD19" s="2"/>
      <c r="AE19" s="18"/>
      <c r="AF19" s="18"/>
      <c r="AG19" s="2"/>
      <c r="AH19" s="2"/>
      <c r="AI19" s="11">
        <f t="shared" si="7"/>
        <v>0</v>
      </c>
      <c r="AJ19" s="12">
        <f t="shared" si="8"/>
        <v>0</v>
      </c>
      <c r="AK19" s="13">
        <f t="shared" si="9"/>
        <v>0</v>
      </c>
      <c r="AL19" s="14">
        <f t="shared" si="10"/>
        <v>0</v>
      </c>
      <c r="AM19" s="14">
        <f t="shared" si="11"/>
        <v>0</v>
      </c>
      <c r="AN19" s="15">
        <f t="shared" si="12"/>
        <v>0</v>
      </c>
      <c r="AO19" s="16">
        <f t="shared" si="13"/>
        <v>0</v>
      </c>
      <c r="AP19" s="17"/>
    </row>
    <row r="20" spans="1:42" ht="25.5" customHeight="1" x14ac:dyDescent="0.2">
      <c r="A20" s="2"/>
      <c r="B20" s="2"/>
      <c r="C20" s="2"/>
      <c r="D20" s="2"/>
      <c r="E20" s="5"/>
      <c r="F20" s="2"/>
      <c r="G20" s="2"/>
      <c r="H20" s="20"/>
      <c r="I20" s="2"/>
      <c r="J20" s="18"/>
      <c r="K20" s="18"/>
      <c r="L20" s="2"/>
      <c r="M20" s="2"/>
      <c r="N20" s="2"/>
      <c r="O20" s="20"/>
      <c r="P20" s="2"/>
      <c r="Q20" s="18"/>
      <c r="R20" s="18"/>
      <c r="S20" s="2"/>
      <c r="T20" s="2"/>
      <c r="U20" s="2"/>
      <c r="V20" s="20"/>
      <c r="W20" s="2"/>
      <c r="X20" s="18"/>
      <c r="Y20" s="18"/>
      <c r="Z20" s="2"/>
      <c r="AA20" s="2"/>
      <c r="AB20" s="2"/>
      <c r="AC20" s="20"/>
      <c r="AD20" s="2"/>
      <c r="AE20" s="18"/>
      <c r="AF20" s="18"/>
      <c r="AG20" s="2"/>
      <c r="AH20" s="2"/>
      <c r="AI20" s="11">
        <f t="shared" si="7"/>
        <v>0</v>
      </c>
      <c r="AJ20" s="12">
        <f t="shared" si="8"/>
        <v>0</v>
      </c>
      <c r="AK20" s="13">
        <f t="shared" si="9"/>
        <v>0</v>
      </c>
      <c r="AL20" s="14">
        <f t="shared" si="10"/>
        <v>0</v>
      </c>
      <c r="AM20" s="14">
        <f t="shared" si="11"/>
        <v>0</v>
      </c>
      <c r="AN20" s="15">
        <f t="shared" si="12"/>
        <v>0</v>
      </c>
      <c r="AO20" s="16">
        <f t="shared" si="13"/>
        <v>0</v>
      </c>
      <c r="AP20" s="17"/>
    </row>
    <row r="21" spans="1:42" ht="25.5" customHeight="1" x14ac:dyDescent="0.2">
      <c r="A21" s="2"/>
      <c r="B21" s="2"/>
      <c r="C21" s="2"/>
      <c r="D21" s="2"/>
      <c r="E21" s="5"/>
      <c r="F21" s="2"/>
      <c r="G21" s="2"/>
      <c r="H21" s="20"/>
      <c r="I21" s="2"/>
      <c r="J21" s="18"/>
      <c r="K21" s="18"/>
      <c r="L21" s="2"/>
      <c r="M21" s="2"/>
      <c r="N21" s="2"/>
      <c r="O21" s="20"/>
      <c r="P21" s="2"/>
      <c r="Q21" s="18"/>
      <c r="R21" s="18"/>
      <c r="S21" s="2"/>
      <c r="T21" s="2"/>
      <c r="U21" s="2"/>
      <c r="V21" s="20"/>
      <c r="W21" s="2"/>
      <c r="X21" s="18"/>
      <c r="Y21" s="18"/>
      <c r="Z21" s="2"/>
      <c r="AA21" s="2"/>
      <c r="AB21" s="2"/>
      <c r="AC21" s="20"/>
      <c r="AD21" s="2"/>
      <c r="AE21" s="18"/>
      <c r="AF21" s="18"/>
      <c r="AG21" s="2"/>
      <c r="AH21" s="2"/>
      <c r="AI21" s="11">
        <f t="shared" si="7"/>
        <v>0</v>
      </c>
      <c r="AJ21" s="12">
        <f t="shared" si="8"/>
        <v>0</v>
      </c>
      <c r="AK21" s="13">
        <f t="shared" si="9"/>
        <v>0</v>
      </c>
      <c r="AL21" s="14">
        <f t="shared" si="10"/>
        <v>0</v>
      </c>
      <c r="AM21" s="14">
        <f t="shared" si="11"/>
        <v>0</v>
      </c>
      <c r="AN21" s="15">
        <f t="shared" si="12"/>
        <v>0</v>
      </c>
      <c r="AO21" s="16">
        <f t="shared" si="13"/>
        <v>0</v>
      </c>
      <c r="AP21" s="17"/>
    </row>
    <row r="22" spans="1:42" x14ac:dyDescent="0.15">
      <c r="D22" s="19"/>
    </row>
  </sheetData>
  <autoFilter ref="A1:AP1" xr:uid="{00000000-0001-0000-0300-000000000000}"/>
  <phoneticPr fontId="2"/>
  <conditionalFormatting sqref="E2:E21">
    <cfRule type="containsText" dxfId="49" priority="14" operator="containsText" text="せん">
      <formula>NOT(ISERROR(SEARCH("せん",E2)))</formula>
    </cfRule>
    <cfRule type="containsText" dxfId="48" priority="15" operator="containsText" text="セ">
      <formula>NOT(ISERROR(SEARCH("セ",E2)))</formula>
    </cfRule>
    <cfRule type="containsText" dxfId="47" priority="16" operator="containsText" text="牝">
      <formula>NOT(ISERROR(SEARCH("牝",E2)))</formula>
    </cfRule>
  </conditionalFormatting>
  <conditionalFormatting sqref="H2:H21 O2:O21 V2:V21 AC2:AC21">
    <cfRule type="containsText" dxfId="46" priority="5" operator="containsText" text="中山">
      <formula>NOT(ISERROR(SEARCH("中山",H2)))</formula>
    </cfRule>
  </conditionalFormatting>
  <conditionalFormatting sqref="J2:J21 Q2:Q21 X2:X21 AE2:AE21">
    <cfRule type="cellIs" dxfId="45" priority="2" operator="between">
      <formula>3</formula>
      <formula>4</formula>
    </cfRule>
    <cfRule type="cellIs" dxfId="44" priority="3" operator="equal">
      <formula>2</formula>
    </cfRule>
    <cfRule type="cellIs" dxfId="43" priority="4" operator="equal">
      <formula>1</formula>
    </cfRule>
  </conditionalFormatting>
  <conditionalFormatting sqref="K2:K21 R2:R21 Y2:Y21 AF2:AF21">
    <cfRule type="cellIs" dxfId="42" priority="1" operator="lessThanOrEqual">
      <formula>0.6</formula>
    </cfRule>
  </conditionalFormatting>
  <conditionalFormatting sqref="AP2:AP21">
    <cfRule type="containsText" dxfId="41" priority="6" operator="containsText" text="先行">
      <formula>NOT(ISERROR(SEARCH("先行",AP2)))</formula>
    </cfRule>
    <cfRule type="containsText" dxfId="40" priority="7" operator="containsText" text="逃げ">
      <formula>NOT(ISERROR(SEARCH("逃げ",AP2)))</formula>
    </cfRule>
    <cfRule type="containsText" dxfId="39" priority="8" operator="containsText" text="先行差し">
      <formula>NOT(ISERROR(SEARCH("先行差し",AP2)))</formula>
    </cfRule>
  </conditionalFormatting>
  <conditionalFormatting sqref="AI2:AI21">
    <cfRule type="top10" dxfId="20" priority="65" bottom="1" rank="4"/>
  </conditionalFormatting>
  <conditionalFormatting sqref="AJ2:AJ21">
    <cfRule type="top10" dxfId="19" priority="66" bottom="1" rank="4"/>
  </conditionalFormatting>
  <conditionalFormatting sqref="AK2:AK21">
    <cfRule type="top10" dxfId="18" priority="67" rank="4"/>
  </conditionalFormatting>
  <conditionalFormatting sqref="AL2:AN21">
    <cfRule type="top10" dxfId="17" priority="68" rank="4"/>
  </conditionalFormatting>
  <conditionalFormatting sqref="AO2:AO21">
    <cfRule type="top10" dxfId="16" priority="69" rank="4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1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2" sqref="D22"/>
    </sheetView>
  </sheetViews>
  <sheetFormatPr defaultRowHeight="13.5" x14ac:dyDescent="0.15"/>
  <cols>
    <col min="1" max="3" width="5.5" customWidth="1"/>
    <col min="4" max="4" width="17.125" customWidth="1"/>
    <col min="5" max="5" width="7.875" customWidth="1"/>
    <col min="6" max="6" width="7.75" customWidth="1"/>
    <col min="9" max="9" width="10.375" customWidth="1"/>
    <col min="10" max="11" width="5.375" customWidth="1"/>
    <col min="13" max="13" width="6.125" customWidth="1"/>
    <col min="16" max="16" width="10.25" customWidth="1"/>
    <col min="17" max="18" width="5.875" customWidth="1"/>
    <col min="20" max="20" width="6.875" customWidth="1"/>
    <col min="22" max="22" width="8" customWidth="1"/>
    <col min="23" max="23" width="9.5" customWidth="1"/>
    <col min="24" max="24" width="5" customWidth="1"/>
    <col min="25" max="25" width="5.625" customWidth="1"/>
    <col min="27" max="27" width="5.625" customWidth="1"/>
    <col min="30" max="30" width="9.875" customWidth="1"/>
    <col min="31" max="32" width="4.625" customWidth="1"/>
    <col min="34" max="34" width="5.375" customWidth="1"/>
    <col min="35" max="35" width="6.5" customWidth="1"/>
    <col min="36" max="36" width="6.125" customWidth="1"/>
    <col min="37" max="40" width="4" customWidth="1"/>
    <col min="42" max="42" width="11.625" customWidth="1"/>
  </cols>
  <sheetData>
    <row r="1" spans="1:42" x14ac:dyDescent="0.15">
      <c r="A1" s="3" t="s">
        <v>32</v>
      </c>
      <c r="B1" s="4" t="s">
        <v>0</v>
      </c>
      <c r="C1" s="4" t="s">
        <v>33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6" t="s">
        <v>34</v>
      </c>
      <c r="AJ1" s="7" t="s">
        <v>35</v>
      </c>
      <c r="AK1" s="6" t="s">
        <v>36</v>
      </c>
      <c r="AL1" s="8" t="s">
        <v>37</v>
      </c>
      <c r="AM1" s="8" t="s">
        <v>38</v>
      </c>
      <c r="AN1" s="7" t="s">
        <v>39</v>
      </c>
      <c r="AO1" s="9" t="s">
        <v>40</v>
      </c>
      <c r="AP1" s="10" t="s">
        <v>41</v>
      </c>
    </row>
    <row r="2" spans="1:42" ht="26.25" customHeight="1" x14ac:dyDescent="0.2">
      <c r="A2" s="2"/>
      <c r="B2" s="2"/>
      <c r="C2" s="2"/>
      <c r="D2" s="2"/>
      <c r="E2" s="5"/>
      <c r="F2" s="2"/>
      <c r="G2" s="2"/>
      <c r="H2" s="20"/>
      <c r="I2" s="2"/>
      <c r="J2" s="18"/>
      <c r="K2" s="18"/>
      <c r="L2" s="2"/>
      <c r="M2" s="2"/>
      <c r="N2" s="2"/>
      <c r="O2" s="20"/>
      <c r="P2" s="2"/>
      <c r="Q2" s="18"/>
      <c r="R2" s="18"/>
      <c r="S2" s="2"/>
      <c r="T2" s="2"/>
      <c r="U2" s="2"/>
      <c r="V2" s="20"/>
      <c r="W2" s="2"/>
      <c r="X2" s="18"/>
      <c r="Y2" s="18"/>
      <c r="Z2" s="2"/>
      <c r="AA2" s="2"/>
      <c r="AB2" s="2"/>
      <c r="AC2" s="20"/>
      <c r="AD2" s="2"/>
      <c r="AE2" s="18"/>
      <c r="AF2" s="18"/>
      <c r="AG2" s="2"/>
      <c r="AH2" s="2"/>
      <c r="AI2" s="11">
        <f t="shared" ref="AI2:AI15" si="0">MIN(AH2,AA2,T2,M2)</f>
        <v>0</v>
      </c>
      <c r="AJ2" s="12">
        <f t="shared" ref="AJ2:AJ15" si="1">SUM(K2,R2,Y2,AF2)</f>
        <v>0</v>
      </c>
      <c r="AK2" s="13">
        <f t="shared" ref="AK2:AK15" si="2">COUNTIF(AE2,1)+COUNTIF(X2,1)+COUNTIF(Q2,1)+COUNTIF(J2,1)</f>
        <v>0</v>
      </c>
      <c r="AL2" s="14">
        <f t="shared" ref="AL2:AL15" si="3">COUNTIF(AE2,2)+COUNTIF(X2,2)+COUNTIF(Q2,2)+COUNTIF(J2,2)</f>
        <v>0</v>
      </c>
      <c r="AM2" s="14">
        <f t="shared" ref="AM2:AM15" si="4">COUNTIF(AE2,3)+COUNTIF(X2,3)+COUNTIF(Q2,3)+COUNTIF(J2,3)</f>
        <v>0</v>
      </c>
      <c r="AN2" s="15">
        <f t="shared" ref="AN2:AN15" si="5">COUNTIF(AE2,4)+COUNTIF(X2,4)+COUNTIF(Q2,4)+COUNTIF(J2,4)</f>
        <v>0</v>
      </c>
      <c r="AO2" s="16">
        <f t="shared" ref="AO2:AO15" si="6">SUM(AK2:AN2)</f>
        <v>0</v>
      </c>
      <c r="AP2" s="17"/>
    </row>
    <row r="3" spans="1:42" ht="26.25" customHeight="1" x14ac:dyDescent="0.2">
      <c r="A3" s="2"/>
      <c r="B3" s="2"/>
      <c r="C3" s="2"/>
      <c r="D3" s="2"/>
      <c r="E3" s="5"/>
      <c r="F3" s="2"/>
      <c r="G3" s="2"/>
      <c r="H3" s="20"/>
      <c r="I3" s="2"/>
      <c r="J3" s="18"/>
      <c r="K3" s="18"/>
      <c r="L3" s="2"/>
      <c r="M3" s="2"/>
      <c r="N3" s="2"/>
      <c r="O3" s="20"/>
      <c r="P3" s="2"/>
      <c r="Q3" s="18"/>
      <c r="R3" s="18"/>
      <c r="S3" s="2"/>
      <c r="T3" s="2"/>
      <c r="U3" s="2"/>
      <c r="V3" s="20"/>
      <c r="W3" s="2"/>
      <c r="X3" s="18"/>
      <c r="Y3" s="18"/>
      <c r="Z3" s="2"/>
      <c r="AA3" s="2"/>
      <c r="AB3" s="2"/>
      <c r="AC3" s="20"/>
      <c r="AD3" s="2"/>
      <c r="AE3" s="18"/>
      <c r="AF3" s="18"/>
      <c r="AG3" s="2"/>
      <c r="AH3" s="2"/>
      <c r="AI3" s="11">
        <f>MIN(AH3,AA3,T3,M3)</f>
        <v>0</v>
      </c>
      <c r="AJ3" s="12">
        <f t="shared" si="1"/>
        <v>0</v>
      </c>
      <c r="AK3" s="13">
        <f t="shared" si="2"/>
        <v>0</v>
      </c>
      <c r="AL3" s="14">
        <f t="shared" si="3"/>
        <v>0</v>
      </c>
      <c r="AM3" s="14">
        <f t="shared" si="4"/>
        <v>0</v>
      </c>
      <c r="AN3" s="15">
        <f t="shared" si="5"/>
        <v>0</v>
      </c>
      <c r="AO3" s="16">
        <f t="shared" si="6"/>
        <v>0</v>
      </c>
      <c r="AP3" s="17"/>
    </row>
    <row r="4" spans="1:42" ht="26.25" customHeight="1" x14ac:dyDescent="0.2">
      <c r="A4" s="2"/>
      <c r="B4" s="2"/>
      <c r="C4" s="2"/>
      <c r="D4" s="2"/>
      <c r="E4" s="5"/>
      <c r="F4" s="2"/>
      <c r="G4" s="2"/>
      <c r="H4" s="20"/>
      <c r="I4" s="2"/>
      <c r="J4" s="18"/>
      <c r="K4" s="18"/>
      <c r="L4" s="2"/>
      <c r="M4" s="2"/>
      <c r="N4" s="2"/>
      <c r="O4" s="20"/>
      <c r="P4" s="2"/>
      <c r="Q4" s="18"/>
      <c r="R4" s="18"/>
      <c r="S4" s="2"/>
      <c r="T4" s="2"/>
      <c r="U4" s="2"/>
      <c r="V4" s="20"/>
      <c r="W4" s="2"/>
      <c r="X4" s="18"/>
      <c r="Y4" s="18"/>
      <c r="Z4" s="2"/>
      <c r="AA4" s="2"/>
      <c r="AB4" s="2"/>
      <c r="AC4" s="20"/>
      <c r="AD4" s="2"/>
      <c r="AE4" s="18"/>
      <c r="AF4" s="18"/>
      <c r="AG4" s="2"/>
      <c r="AH4" s="2"/>
      <c r="AI4" s="11">
        <f t="shared" si="0"/>
        <v>0</v>
      </c>
      <c r="AJ4" s="12">
        <f t="shared" si="1"/>
        <v>0</v>
      </c>
      <c r="AK4" s="13">
        <f t="shared" si="2"/>
        <v>0</v>
      </c>
      <c r="AL4" s="14">
        <f t="shared" si="3"/>
        <v>0</v>
      </c>
      <c r="AM4" s="14">
        <f t="shared" si="4"/>
        <v>0</v>
      </c>
      <c r="AN4" s="15">
        <f t="shared" si="5"/>
        <v>0</v>
      </c>
      <c r="AO4" s="16">
        <f t="shared" si="6"/>
        <v>0</v>
      </c>
      <c r="AP4" s="17"/>
    </row>
    <row r="5" spans="1:42" ht="26.25" customHeight="1" x14ac:dyDescent="0.2">
      <c r="A5" s="2"/>
      <c r="B5" s="2"/>
      <c r="C5" s="2"/>
      <c r="D5" s="2"/>
      <c r="E5" s="5"/>
      <c r="F5" s="2"/>
      <c r="G5" s="2"/>
      <c r="H5" s="20"/>
      <c r="I5" s="2"/>
      <c r="J5" s="18"/>
      <c r="K5" s="18"/>
      <c r="L5" s="2"/>
      <c r="M5" s="2"/>
      <c r="N5" s="2"/>
      <c r="O5" s="20"/>
      <c r="P5" s="2"/>
      <c r="Q5" s="18"/>
      <c r="R5" s="18"/>
      <c r="S5" s="2"/>
      <c r="T5" s="2"/>
      <c r="U5" s="2"/>
      <c r="V5" s="20"/>
      <c r="W5" s="2"/>
      <c r="X5" s="18"/>
      <c r="Y5" s="18"/>
      <c r="Z5" s="2"/>
      <c r="AA5" s="2"/>
      <c r="AB5" s="2"/>
      <c r="AC5" s="20"/>
      <c r="AD5" s="2"/>
      <c r="AE5" s="18"/>
      <c r="AF5" s="18"/>
      <c r="AG5" s="2"/>
      <c r="AH5" s="2"/>
      <c r="AI5" s="11">
        <f t="shared" si="0"/>
        <v>0</v>
      </c>
      <c r="AJ5" s="12">
        <f t="shared" si="1"/>
        <v>0</v>
      </c>
      <c r="AK5" s="13">
        <f t="shared" si="2"/>
        <v>0</v>
      </c>
      <c r="AL5" s="14">
        <f t="shared" si="3"/>
        <v>0</v>
      </c>
      <c r="AM5" s="14">
        <f t="shared" si="4"/>
        <v>0</v>
      </c>
      <c r="AN5" s="15">
        <f t="shared" si="5"/>
        <v>0</v>
      </c>
      <c r="AO5" s="16">
        <f t="shared" si="6"/>
        <v>0</v>
      </c>
      <c r="AP5" s="17"/>
    </row>
    <row r="6" spans="1:42" ht="26.25" customHeight="1" x14ac:dyDescent="0.2">
      <c r="A6" s="2"/>
      <c r="B6" s="2"/>
      <c r="C6" s="2"/>
      <c r="D6" s="2"/>
      <c r="E6" s="5"/>
      <c r="F6" s="2"/>
      <c r="G6" s="2"/>
      <c r="H6" s="20"/>
      <c r="I6" s="2"/>
      <c r="J6" s="18"/>
      <c r="K6" s="18"/>
      <c r="L6" s="2"/>
      <c r="M6" s="2"/>
      <c r="N6" s="2"/>
      <c r="O6" s="20"/>
      <c r="P6" s="2"/>
      <c r="Q6" s="18"/>
      <c r="R6" s="18"/>
      <c r="S6" s="2"/>
      <c r="T6" s="2"/>
      <c r="U6" s="2"/>
      <c r="V6" s="20"/>
      <c r="W6" s="2"/>
      <c r="X6" s="18"/>
      <c r="Y6" s="18"/>
      <c r="Z6" s="2"/>
      <c r="AA6" s="2"/>
      <c r="AB6" s="2"/>
      <c r="AC6" s="20"/>
      <c r="AD6" s="2"/>
      <c r="AE6" s="18"/>
      <c r="AF6" s="18"/>
      <c r="AG6" s="2"/>
      <c r="AH6" s="2"/>
      <c r="AI6" s="11">
        <f t="shared" si="0"/>
        <v>0</v>
      </c>
      <c r="AJ6" s="12">
        <f t="shared" si="1"/>
        <v>0</v>
      </c>
      <c r="AK6" s="13">
        <f t="shared" si="2"/>
        <v>0</v>
      </c>
      <c r="AL6" s="14">
        <f t="shared" si="3"/>
        <v>0</v>
      </c>
      <c r="AM6" s="14">
        <f t="shared" si="4"/>
        <v>0</v>
      </c>
      <c r="AN6" s="15">
        <f t="shared" si="5"/>
        <v>0</v>
      </c>
      <c r="AO6" s="16">
        <f t="shared" si="6"/>
        <v>0</v>
      </c>
      <c r="AP6" s="17"/>
    </row>
    <row r="7" spans="1:42" ht="26.25" customHeight="1" x14ac:dyDescent="0.2">
      <c r="A7" s="2"/>
      <c r="B7" s="2"/>
      <c r="C7" s="2"/>
      <c r="D7" s="2"/>
      <c r="E7" s="5"/>
      <c r="F7" s="2"/>
      <c r="G7" s="2"/>
      <c r="H7" s="20"/>
      <c r="I7" s="2"/>
      <c r="J7" s="18"/>
      <c r="K7" s="18"/>
      <c r="L7" s="2"/>
      <c r="M7" s="2"/>
      <c r="N7" s="2"/>
      <c r="O7" s="20"/>
      <c r="P7" s="2"/>
      <c r="Q7" s="18"/>
      <c r="R7" s="18"/>
      <c r="S7" s="2"/>
      <c r="T7" s="2"/>
      <c r="U7" s="2"/>
      <c r="V7" s="20"/>
      <c r="W7" s="2"/>
      <c r="X7" s="18"/>
      <c r="Y7" s="18"/>
      <c r="Z7" s="2"/>
      <c r="AA7" s="2"/>
      <c r="AB7" s="2"/>
      <c r="AC7" s="20"/>
      <c r="AD7" s="2"/>
      <c r="AE7" s="18"/>
      <c r="AF7" s="18"/>
      <c r="AG7" s="2"/>
      <c r="AH7" s="2"/>
      <c r="AI7" s="11">
        <f t="shared" si="0"/>
        <v>0</v>
      </c>
      <c r="AJ7" s="12">
        <f t="shared" si="1"/>
        <v>0</v>
      </c>
      <c r="AK7" s="13">
        <f t="shared" si="2"/>
        <v>0</v>
      </c>
      <c r="AL7" s="14">
        <f t="shared" si="3"/>
        <v>0</v>
      </c>
      <c r="AM7" s="14">
        <f t="shared" si="4"/>
        <v>0</v>
      </c>
      <c r="AN7" s="15">
        <f t="shared" si="5"/>
        <v>0</v>
      </c>
      <c r="AO7" s="16">
        <f t="shared" si="6"/>
        <v>0</v>
      </c>
      <c r="AP7" s="17"/>
    </row>
    <row r="8" spans="1:42" ht="26.25" customHeight="1" x14ac:dyDescent="0.2">
      <c r="A8" s="2"/>
      <c r="B8" s="2"/>
      <c r="C8" s="2"/>
      <c r="D8" s="2"/>
      <c r="E8" s="5"/>
      <c r="F8" s="2"/>
      <c r="G8" s="2"/>
      <c r="H8" s="20"/>
      <c r="I8" s="2"/>
      <c r="J8" s="18"/>
      <c r="K8" s="18"/>
      <c r="L8" s="2"/>
      <c r="M8" s="2"/>
      <c r="N8" s="2"/>
      <c r="O8" s="20"/>
      <c r="P8" s="2"/>
      <c r="Q8" s="18"/>
      <c r="R8" s="18"/>
      <c r="S8" s="2"/>
      <c r="T8" s="2"/>
      <c r="U8" s="2"/>
      <c r="V8" s="20"/>
      <c r="W8" s="2"/>
      <c r="X8" s="18"/>
      <c r="Y8" s="18"/>
      <c r="Z8" s="2"/>
      <c r="AA8" s="2"/>
      <c r="AB8" s="2"/>
      <c r="AC8" s="20"/>
      <c r="AD8" s="2"/>
      <c r="AE8" s="18"/>
      <c r="AF8" s="18"/>
      <c r="AG8" s="2"/>
      <c r="AH8" s="2"/>
      <c r="AI8" s="11">
        <f t="shared" si="0"/>
        <v>0</v>
      </c>
      <c r="AJ8" s="12">
        <f t="shared" si="1"/>
        <v>0</v>
      </c>
      <c r="AK8" s="13">
        <f t="shared" si="2"/>
        <v>0</v>
      </c>
      <c r="AL8" s="14">
        <f t="shared" si="3"/>
        <v>0</v>
      </c>
      <c r="AM8" s="14">
        <f t="shared" si="4"/>
        <v>0</v>
      </c>
      <c r="AN8" s="15">
        <f t="shared" si="5"/>
        <v>0</v>
      </c>
      <c r="AO8" s="16">
        <f t="shared" si="6"/>
        <v>0</v>
      </c>
      <c r="AP8" s="17"/>
    </row>
    <row r="9" spans="1:42" ht="26.25" customHeight="1" x14ac:dyDescent="0.2">
      <c r="A9" s="2"/>
      <c r="B9" s="2"/>
      <c r="C9" s="2"/>
      <c r="D9" s="2"/>
      <c r="E9" s="5"/>
      <c r="F9" s="2"/>
      <c r="G9" s="2"/>
      <c r="H9" s="20"/>
      <c r="I9" s="2"/>
      <c r="J9" s="18"/>
      <c r="K9" s="18"/>
      <c r="L9" s="2"/>
      <c r="M9" s="2"/>
      <c r="N9" s="2"/>
      <c r="O9" s="20"/>
      <c r="P9" s="2"/>
      <c r="Q9" s="18"/>
      <c r="R9" s="18"/>
      <c r="S9" s="2"/>
      <c r="T9" s="2"/>
      <c r="U9" s="2"/>
      <c r="V9" s="20"/>
      <c r="W9" s="2"/>
      <c r="X9" s="18"/>
      <c r="Y9" s="18"/>
      <c r="Z9" s="2"/>
      <c r="AA9" s="2"/>
      <c r="AB9" s="2"/>
      <c r="AC9" s="20"/>
      <c r="AD9" s="2"/>
      <c r="AE9" s="18"/>
      <c r="AF9" s="18"/>
      <c r="AG9" s="2"/>
      <c r="AH9" s="2"/>
      <c r="AI9" s="11">
        <f t="shared" si="0"/>
        <v>0</v>
      </c>
      <c r="AJ9" s="12">
        <f t="shared" si="1"/>
        <v>0</v>
      </c>
      <c r="AK9" s="13">
        <f t="shared" si="2"/>
        <v>0</v>
      </c>
      <c r="AL9" s="14">
        <f t="shared" si="3"/>
        <v>0</v>
      </c>
      <c r="AM9" s="14">
        <f t="shared" si="4"/>
        <v>0</v>
      </c>
      <c r="AN9" s="15">
        <f t="shared" si="5"/>
        <v>0</v>
      </c>
      <c r="AO9" s="16">
        <f t="shared" si="6"/>
        <v>0</v>
      </c>
      <c r="AP9" s="17"/>
    </row>
    <row r="10" spans="1:42" ht="26.25" customHeight="1" x14ac:dyDescent="0.2">
      <c r="A10" s="2"/>
      <c r="B10" s="2"/>
      <c r="C10" s="2"/>
      <c r="D10" s="2"/>
      <c r="E10" s="5"/>
      <c r="F10" s="2"/>
      <c r="G10" s="2"/>
      <c r="H10" s="20"/>
      <c r="I10" s="2"/>
      <c r="J10" s="18"/>
      <c r="K10" s="18"/>
      <c r="L10" s="2"/>
      <c r="M10" s="2"/>
      <c r="N10" s="2"/>
      <c r="O10" s="20"/>
      <c r="P10" s="2"/>
      <c r="Q10" s="18"/>
      <c r="R10" s="18"/>
      <c r="S10" s="2"/>
      <c r="T10" s="2"/>
      <c r="U10" s="2"/>
      <c r="V10" s="20"/>
      <c r="W10" s="2"/>
      <c r="X10" s="18"/>
      <c r="Y10" s="18"/>
      <c r="Z10" s="2"/>
      <c r="AA10" s="2"/>
      <c r="AB10" s="2"/>
      <c r="AC10" s="20"/>
      <c r="AD10" s="2"/>
      <c r="AE10" s="18"/>
      <c r="AF10" s="18"/>
      <c r="AG10" s="2"/>
      <c r="AH10" s="2"/>
      <c r="AI10" s="11">
        <f t="shared" si="0"/>
        <v>0</v>
      </c>
      <c r="AJ10" s="12">
        <f t="shared" si="1"/>
        <v>0</v>
      </c>
      <c r="AK10" s="13">
        <f t="shared" si="2"/>
        <v>0</v>
      </c>
      <c r="AL10" s="14">
        <f t="shared" si="3"/>
        <v>0</v>
      </c>
      <c r="AM10" s="14">
        <f t="shared" si="4"/>
        <v>0</v>
      </c>
      <c r="AN10" s="15">
        <f t="shared" si="5"/>
        <v>0</v>
      </c>
      <c r="AO10" s="16">
        <f t="shared" si="6"/>
        <v>0</v>
      </c>
      <c r="AP10" s="17"/>
    </row>
    <row r="11" spans="1:42" ht="26.25" customHeight="1" x14ac:dyDescent="0.2">
      <c r="A11" s="2"/>
      <c r="B11" s="2"/>
      <c r="C11" s="2"/>
      <c r="D11" s="2"/>
      <c r="E11" s="5"/>
      <c r="F11" s="2"/>
      <c r="G11" s="2"/>
      <c r="H11" s="20"/>
      <c r="I11" s="2"/>
      <c r="J11" s="18"/>
      <c r="K11" s="18"/>
      <c r="L11" s="2"/>
      <c r="M11" s="2"/>
      <c r="N11" s="2"/>
      <c r="O11" s="20"/>
      <c r="P11" s="2"/>
      <c r="Q11" s="18"/>
      <c r="R11" s="18"/>
      <c r="S11" s="2"/>
      <c r="T11" s="2"/>
      <c r="U11" s="2"/>
      <c r="V11" s="20"/>
      <c r="W11" s="2"/>
      <c r="X11" s="18"/>
      <c r="Y11" s="18"/>
      <c r="Z11" s="2"/>
      <c r="AA11" s="2"/>
      <c r="AB11" s="2"/>
      <c r="AC11" s="20"/>
      <c r="AD11" s="2"/>
      <c r="AE11" s="18"/>
      <c r="AF11" s="18"/>
      <c r="AG11" s="2"/>
      <c r="AH11" s="2"/>
      <c r="AI11" s="11">
        <f t="shared" si="0"/>
        <v>0</v>
      </c>
      <c r="AJ11" s="12">
        <f t="shared" si="1"/>
        <v>0</v>
      </c>
      <c r="AK11" s="13">
        <f t="shared" si="2"/>
        <v>0</v>
      </c>
      <c r="AL11" s="14">
        <f t="shared" si="3"/>
        <v>0</v>
      </c>
      <c r="AM11" s="14">
        <f t="shared" si="4"/>
        <v>0</v>
      </c>
      <c r="AN11" s="15">
        <f t="shared" si="5"/>
        <v>0</v>
      </c>
      <c r="AO11" s="16">
        <f t="shared" si="6"/>
        <v>0</v>
      </c>
      <c r="AP11" s="17"/>
    </row>
    <row r="12" spans="1:42" ht="26.25" customHeight="1" x14ac:dyDescent="0.2">
      <c r="A12" s="2"/>
      <c r="B12" s="2"/>
      <c r="C12" s="2"/>
      <c r="D12" s="2"/>
      <c r="E12" s="5"/>
      <c r="F12" s="2"/>
      <c r="G12" s="2"/>
      <c r="H12" s="20"/>
      <c r="I12" s="2"/>
      <c r="J12" s="18"/>
      <c r="K12" s="18"/>
      <c r="L12" s="2"/>
      <c r="M12" s="2"/>
      <c r="N12" s="2"/>
      <c r="O12" s="20"/>
      <c r="P12" s="2"/>
      <c r="Q12" s="18"/>
      <c r="R12" s="18"/>
      <c r="S12" s="2"/>
      <c r="T12" s="2"/>
      <c r="U12" s="2"/>
      <c r="V12" s="20"/>
      <c r="W12" s="2"/>
      <c r="X12" s="18"/>
      <c r="Y12" s="18"/>
      <c r="Z12" s="2"/>
      <c r="AA12" s="2"/>
      <c r="AB12" s="2"/>
      <c r="AC12" s="20"/>
      <c r="AD12" s="2"/>
      <c r="AE12" s="18"/>
      <c r="AF12" s="18"/>
      <c r="AG12" s="2"/>
      <c r="AH12" s="2"/>
      <c r="AI12" s="11">
        <f t="shared" si="0"/>
        <v>0</v>
      </c>
      <c r="AJ12" s="12">
        <f t="shared" si="1"/>
        <v>0</v>
      </c>
      <c r="AK12" s="13">
        <f t="shared" si="2"/>
        <v>0</v>
      </c>
      <c r="AL12" s="14">
        <f t="shared" si="3"/>
        <v>0</v>
      </c>
      <c r="AM12" s="14">
        <f t="shared" si="4"/>
        <v>0</v>
      </c>
      <c r="AN12" s="15">
        <f t="shared" si="5"/>
        <v>0</v>
      </c>
      <c r="AO12" s="16">
        <f t="shared" si="6"/>
        <v>0</v>
      </c>
      <c r="AP12" s="17"/>
    </row>
    <row r="13" spans="1:42" ht="26.25" customHeight="1" x14ac:dyDescent="0.2">
      <c r="A13" s="2"/>
      <c r="B13" s="2"/>
      <c r="C13" s="2"/>
      <c r="D13" s="2"/>
      <c r="E13" s="5"/>
      <c r="F13" s="2"/>
      <c r="G13" s="2"/>
      <c r="H13" s="20"/>
      <c r="I13" s="2"/>
      <c r="J13" s="18"/>
      <c r="K13" s="18"/>
      <c r="L13" s="2"/>
      <c r="M13" s="2"/>
      <c r="N13" s="2"/>
      <c r="O13" s="20"/>
      <c r="P13" s="2"/>
      <c r="Q13" s="18"/>
      <c r="R13" s="18"/>
      <c r="S13" s="2"/>
      <c r="T13" s="2"/>
      <c r="U13" s="2"/>
      <c r="V13" s="20"/>
      <c r="W13" s="2"/>
      <c r="X13" s="18"/>
      <c r="Y13" s="18"/>
      <c r="Z13" s="2"/>
      <c r="AA13" s="2"/>
      <c r="AB13" s="2"/>
      <c r="AC13" s="20"/>
      <c r="AD13" s="2"/>
      <c r="AE13" s="18"/>
      <c r="AF13" s="18"/>
      <c r="AG13" s="2"/>
      <c r="AH13" s="2"/>
      <c r="AI13" s="11">
        <f t="shared" si="0"/>
        <v>0</v>
      </c>
      <c r="AJ13" s="12">
        <f t="shared" si="1"/>
        <v>0</v>
      </c>
      <c r="AK13" s="13">
        <f t="shared" si="2"/>
        <v>0</v>
      </c>
      <c r="AL13" s="14">
        <f t="shared" si="3"/>
        <v>0</v>
      </c>
      <c r="AM13" s="14">
        <f t="shared" si="4"/>
        <v>0</v>
      </c>
      <c r="AN13" s="15">
        <f t="shared" si="5"/>
        <v>0</v>
      </c>
      <c r="AO13" s="16">
        <f t="shared" si="6"/>
        <v>0</v>
      </c>
      <c r="AP13" s="17"/>
    </row>
    <row r="14" spans="1:42" ht="26.25" customHeight="1" x14ac:dyDescent="0.2">
      <c r="A14" s="2"/>
      <c r="B14" s="2"/>
      <c r="C14" s="2"/>
      <c r="D14" s="2"/>
      <c r="E14" s="5"/>
      <c r="F14" s="2"/>
      <c r="G14" s="2"/>
      <c r="H14" s="20"/>
      <c r="I14" s="2"/>
      <c r="J14" s="18"/>
      <c r="K14" s="18"/>
      <c r="L14" s="2"/>
      <c r="M14" s="2"/>
      <c r="N14" s="2"/>
      <c r="O14" s="20"/>
      <c r="P14" s="2"/>
      <c r="Q14" s="18"/>
      <c r="R14" s="18"/>
      <c r="S14" s="2"/>
      <c r="T14" s="2"/>
      <c r="U14" s="2"/>
      <c r="V14" s="20"/>
      <c r="W14" s="2"/>
      <c r="X14" s="18"/>
      <c r="Y14" s="18"/>
      <c r="Z14" s="2"/>
      <c r="AA14" s="2"/>
      <c r="AB14" s="2"/>
      <c r="AC14" s="20"/>
      <c r="AD14" s="2"/>
      <c r="AE14" s="18"/>
      <c r="AF14" s="18"/>
      <c r="AG14" s="2"/>
      <c r="AH14" s="2"/>
      <c r="AI14" s="11">
        <f t="shared" si="0"/>
        <v>0</v>
      </c>
      <c r="AJ14" s="12">
        <f t="shared" si="1"/>
        <v>0</v>
      </c>
      <c r="AK14" s="13">
        <f t="shared" si="2"/>
        <v>0</v>
      </c>
      <c r="AL14" s="14">
        <f t="shared" si="3"/>
        <v>0</v>
      </c>
      <c r="AM14" s="14">
        <f t="shared" si="4"/>
        <v>0</v>
      </c>
      <c r="AN14" s="15">
        <f t="shared" si="5"/>
        <v>0</v>
      </c>
      <c r="AO14" s="16">
        <f t="shared" si="6"/>
        <v>0</v>
      </c>
      <c r="AP14" s="17"/>
    </row>
    <row r="15" spans="1:42" ht="26.25" customHeight="1" x14ac:dyDescent="0.2">
      <c r="A15" s="2"/>
      <c r="B15" s="2"/>
      <c r="C15" s="2"/>
      <c r="D15" s="2"/>
      <c r="E15" s="5"/>
      <c r="F15" s="2"/>
      <c r="G15" s="2"/>
      <c r="H15" s="20"/>
      <c r="I15" s="2"/>
      <c r="J15" s="18"/>
      <c r="K15" s="18"/>
      <c r="L15" s="2"/>
      <c r="M15" s="2"/>
      <c r="N15" s="2"/>
      <c r="O15" s="20"/>
      <c r="P15" s="2"/>
      <c r="Q15" s="18"/>
      <c r="R15" s="18"/>
      <c r="S15" s="2"/>
      <c r="T15" s="2"/>
      <c r="U15" s="2"/>
      <c r="V15" s="20"/>
      <c r="W15" s="2"/>
      <c r="X15" s="18"/>
      <c r="Y15" s="18"/>
      <c r="Z15" s="2"/>
      <c r="AA15" s="2"/>
      <c r="AB15" s="2"/>
      <c r="AC15" s="20"/>
      <c r="AD15" s="2"/>
      <c r="AE15" s="18"/>
      <c r="AF15" s="18"/>
      <c r="AG15" s="2"/>
      <c r="AH15" s="2"/>
      <c r="AI15" s="11">
        <f t="shared" si="0"/>
        <v>0</v>
      </c>
      <c r="AJ15" s="12">
        <f t="shared" si="1"/>
        <v>0</v>
      </c>
      <c r="AK15" s="13">
        <f t="shared" si="2"/>
        <v>0</v>
      </c>
      <c r="AL15" s="14">
        <f t="shared" si="3"/>
        <v>0</v>
      </c>
      <c r="AM15" s="14">
        <f t="shared" si="4"/>
        <v>0</v>
      </c>
      <c r="AN15" s="15">
        <f t="shared" si="5"/>
        <v>0</v>
      </c>
      <c r="AO15" s="16">
        <f t="shared" si="6"/>
        <v>0</v>
      </c>
      <c r="AP15" s="17"/>
    </row>
    <row r="16" spans="1:42" ht="26.25" customHeight="1" x14ac:dyDescent="0.2">
      <c r="A16" s="2"/>
      <c r="B16" s="2"/>
      <c r="C16" s="2"/>
      <c r="D16" s="2"/>
      <c r="E16" s="5"/>
      <c r="F16" s="2"/>
      <c r="G16" s="2"/>
      <c r="H16" s="20"/>
      <c r="I16" s="2"/>
      <c r="J16" s="18"/>
      <c r="K16" s="18"/>
      <c r="L16" s="2"/>
      <c r="M16" s="2"/>
      <c r="N16" s="2"/>
      <c r="O16" s="20"/>
      <c r="P16" s="2"/>
      <c r="Q16" s="18"/>
      <c r="R16" s="18"/>
      <c r="S16" s="2"/>
      <c r="T16" s="2"/>
      <c r="U16" s="2"/>
      <c r="V16" s="20"/>
      <c r="W16" s="2"/>
      <c r="X16" s="18"/>
      <c r="Y16" s="18"/>
      <c r="Z16" s="2"/>
      <c r="AA16" s="2"/>
      <c r="AB16" s="2"/>
      <c r="AC16" s="20"/>
      <c r="AD16" s="2"/>
      <c r="AE16" s="18"/>
      <c r="AF16" s="18"/>
      <c r="AG16" s="2"/>
      <c r="AH16" s="2"/>
      <c r="AI16" s="11">
        <f t="shared" ref="AI16:AI21" si="7">MIN(AH16,AA16,T16,M16)</f>
        <v>0</v>
      </c>
      <c r="AJ16" s="12">
        <f t="shared" ref="AJ16:AJ21" si="8">SUM(K16,R16,Y16,AF16)</f>
        <v>0</v>
      </c>
      <c r="AK16" s="13">
        <f t="shared" ref="AK16:AK21" si="9">COUNTIF(AE16,1)+COUNTIF(X16,1)+COUNTIF(Q16,1)+COUNTIF(J16,1)</f>
        <v>0</v>
      </c>
      <c r="AL16" s="14">
        <f t="shared" ref="AL16:AL21" si="10">COUNTIF(AE16,2)+COUNTIF(X16,2)+COUNTIF(Q16,2)+COUNTIF(J16,2)</f>
        <v>0</v>
      </c>
      <c r="AM16" s="14">
        <f t="shared" ref="AM16:AM21" si="11">COUNTIF(AE16,3)+COUNTIF(X16,3)+COUNTIF(Q16,3)+COUNTIF(J16,3)</f>
        <v>0</v>
      </c>
      <c r="AN16" s="15">
        <f t="shared" ref="AN16:AN21" si="12">COUNTIF(AE16,4)+COUNTIF(X16,4)+COUNTIF(Q16,4)+COUNTIF(J16,4)</f>
        <v>0</v>
      </c>
      <c r="AO16" s="16">
        <f t="shared" ref="AO16:AO21" si="13">SUM(AK16:AN16)</f>
        <v>0</v>
      </c>
      <c r="AP16" s="17"/>
    </row>
    <row r="17" spans="1:42" ht="26.25" customHeight="1" x14ac:dyDescent="0.2">
      <c r="A17" s="2"/>
      <c r="B17" s="2"/>
      <c r="C17" s="2"/>
      <c r="D17" s="2"/>
      <c r="E17" s="5"/>
      <c r="F17" s="2"/>
      <c r="G17" s="2"/>
      <c r="H17" s="20"/>
      <c r="I17" s="2"/>
      <c r="J17" s="18"/>
      <c r="K17" s="18"/>
      <c r="L17" s="2"/>
      <c r="M17" s="2"/>
      <c r="N17" s="2"/>
      <c r="O17" s="20"/>
      <c r="P17" s="2"/>
      <c r="Q17" s="18"/>
      <c r="R17" s="18"/>
      <c r="S17" s="2"/>
      <c r="T17" s="2"/>
      <c r="U17" s="2"/>
      <c r="V17" s="20"/>
      <c r="W17" s="2"/>
      <c r="X17" s="18"/>
      <c r="Y17" s="18"/>
      <c r="Z17" s="2"/>
      <c r="AA17" s="2"/>
      <c r="AB17" s="2"/>
      <c r="AC17" s="20"/>
      <c r="AD17" s="2"/>
      <c r="AE17" s="18"/>
      <c r="AF17" s="18"/>
      <c r="AG17" s="2"/>
      <c r="AH17" s="2"/>
      <c r="AI17" s="11">
        <f t="shared" si="7"/>
        <v>0</v>
      </c>
      <c r="AJ17" s="12">
        <f t="shared" si="8"/>
        <v>0</v>
      </c>
      <c r="AK17" s="13">
        <f t="shared" si="9"/>
        <v>0</v>
      </c>
      <c r="AL17" s="14">
        <f t="shared" si="10"/>
        <v>0</v>
      </c>
      <c r="AM17" s="14">
        <f t="shared" si="11"/>
        <v>0</v>
      </c>
      <c r="AN17" s="15">
        <f t="shared" si="12"/>
        <v>0</v>
      </c>
      <c r="AO17" s="16">
        <f t="shared" si="13"/>
        <v>0</v>
      </c>
      <c r="AP17" s="17"/>
    </row>
    <row r="18" spans="1:42" ht="26.25" customHeight="1" x14ac:dyDescent="0.2">
      <c r="A18" s="2"/>
      <c r="B18" s="2"/>
      <c r="C18" s="2"/>
      <c r="D18" s="2"/>
      <c r="E18" s="5"/>
      <c r="F18" s="2"/>
      <c r="G18" s="2"/>
      <c r="H18" s="20"/>
      <c r="I18" s="2"/>
      <c r="J18" s="18"/>
      <c r="K18" s="18"/>
      <c r="L18" s="2"/>
      <c r="M18" s="2"/>
      <c r="N18" s="2"/>
      <c r="O18" s="20"/>
      <c r="P18" s="2"/>
      <c r="Q18" s="18"/>
      <c r="R18" s="18"/>
      <c r="S18" s="2"/>
      <c r="T18" s="2"/>
      <c r="U18" s="2"/>
      <c r="V18" s="20"/>
      <c r="W18" s="2"/>
      <c r="X18" s="18"/>
      <c r="Y18" s="18"/>
      <c r="Z18" s="2"/>
      <c r="AA18" s="2"/>
      <c r="AB18" s="2"/>
      <c r="AC18" s="20"/>
      <c r="AD18" s="2"/>
      <c r="AE18" s="18"/>
      <c r="AF18" s="18"/>
      <c r="AG18" s="2"/>
      <c r="AH18" s="2"/>
      <c r="AI18" s="11">
        <f t="shared" si="7"/>
        <v>0</v>
      </c>
      <c r="AJ18" s="12">
        <f t="shared" si="8"/>
        <v>0</v>
      </c>
      <c r="AK18" s="13">
        <f t="shared" si="9"/>
        <v>0</v>
      </c>
      <c r="AL18" s="14">
        <f t="shared" si="10"/>
        <v>0</v>
      </c>
      <c r="AM18" s="14">
        <f t="shared" si="11"/>
        <v>0</v>
      </c>
      <c r="AN18" s="15">
        <f t="shared" si="12"/>
        <v>0</v>
      </c>
      <c r="AO18" s="16">
        <f t="shared" si="13"/>
        <v>0</v>
      </c>
      <c r="AP18" s="17"/>
    </row>
    <row r="19" spans="1:42" ht="26.25" customHeight="1" x14ac:dyDescent="0.2">
      <c r="A19" s="2"/>
      <c r="B19" s="2"/>
      <c r="C19" s="2"/>
      <c r="D19" s="2"/>
      <c r="E19" s="5"/>
      <c r="F19" s="2"/>
      <c r="G19" s="2"/>
      <c r="H19" s="20"/>
      <c r="I19" s="2"/>
      <c r="J19" s="18"/>
      <c r="K19" s="18"/>
      <c r="L19" s="2"/>
      <c r="M19" s="2"/>
      <c r="N19" s="2"/>
      <c r="O19" s="20"/>
      <c r="P19" s="2"/>
      <c r="Q19" s="18"/>
      <c r="R19" s="18"/>
      <c r="S19" s="2"/>
      <c r="T19" s="2"/>
      <c r="U19" s="2"/>
      <c r="V19" s="20"/>
      <c r="W19" s="2"/>
      <c r="X19" s="18"/>
      <c r="Y19" s="18"/>
      <c r="Z19" s="2"/>
      <c r="AA19" s="2"/>
      <c r="AB19" s="2"/>
      <c r="AC19" s="20"/>
      <c r="AD19" s="2"/>
      <c r="AE19" s="18"/>
      <c r="AF19" s="18"/>
      <c r="AG19" s="2"/>
      <c r="AH19" s="2"/>
      <c r="AI19" s="11">
        <f t="shared" si="7"/>
        <v>0</v>
      </c>
      <c r="AJ19" s="12">
        <f t="shared" si="8"/>
        <v>0</v>
      </c>
      <c r="AK19" s="13">
        <f t="shared" si="9"/>
        <v>0</v>
      </c>
      <c r="AL19" s="14">
        <f t="shared" si="10"/>
        <v>0</v>
      </c>
      <c r="AM19" s="14">
        <f t="shared" si="11"/>
        <v>0</v>
      </c>
      <c r="AN19" s="15">
        <f t="shared" si="12"/>
        <v>0</v>
      </c>
      <c r="AO19" s="16">
        <f t="shared" si="13"/>
        <v>0</v>
      </c>
      <c r="AP19" s="17"/>
    </row>
    <row r="20" spans="1:42" ht="26.25" customHeight="1" x14ac:dyDescent="0.2">
      <c r="A20" s="2"/>
      <c r="B20" s="2"/>
      <c r="C20" s="2"/>
      <c r="D20" s="2"/>
      <c r="E20" s="5"/>
      <c r="F20" s="2"/>
      <c r="G20" s="2"/>
      <c r="H20" s="20"/>
      <c r="I20" s="2"/>
      <c r="J20" s="18"/>
      <c r="K20" s="18"/>
      <c r="L20" s="2"/>
      <c r="M20" s="2"/>
      <c r="N20" s="2"/>
      <c r="O20" s="20"/>
      <c r="P20" s="2"/>
      <c r="Q20" s="18"/>
      <c r="R20" s="18"/>
      <c r="S20" s="2"/>
      <c r="T20" s="2"/>
      <c r="U20" s="2"/>
      <c r="V20" s="20"/>
      <c r="W20" s="2"/>
      <c r="X20" s="18"/>
      <c r="Y20" s="18"/>
      <c r="Z20" s="2"/>
      <c r="AA20" s="2"/>
      <c r="AB20" s="2"/>
      <c r="AC20" s="20"/>
      <c r="AD20" s="2"/>
      <c r="AE20" s="18"/>
      <c r="AF20" s="18"/>
      <c r="AG20" s="2"/>
      <c r="AH20" s="2"/>
      <c r="AI20" s="11">
        <f t="shared" si="7"/>
        <v>0</v>
      </c>
      <c r="AJ20" s="12">
        <f t="shared" si="8"/>
        <v>0</v>
      </c>
      <c r="AK20" s="13">
        <f t="shared" si="9"/>
        <v>0</v>
      </c>
      <c r="AL20" s="14">
        <f t="shared" si="10"/>
        <v>0</v>
      </c>
      <c r="AM20" s="14">
        <f t="shared" si="11"/>
        <v>0</v>
      </c>
      <c r="AN20" s="15">
        <f t="shared" si="12"/>
        <v>0</v>
      </c>
      <c r="AO20" s="16">
        <f t="shared" si="13"/>
        <v>0</v>
      </c>
      <c r="AP20" s="17"/>
    </row>
    <row r="21" spans="1:42" ht="25.5" customHeight="1" x14ac:dyDescent="0.2">
      <c r="A21" s="2"/>
      <c r="B21" s="2"/>
      <c r="C21" s="2"/>
      <c r="D21" s="2"/>
      <c r="E21" s="5"/>
      <c r="F21" s="2"/>
      <c r="G21" s="2"/>
      <c r="H21" s="20"/>
      <c r="I21" s="2"/>
      <c r="J21" s="18"/>
      <c r="K21" s="18"/>
      <c r="L21" s="2"/>
      <c r="M21" s="2"/>
      <c r="N21" s="2"/>
      <c r="O21" s="20"/>
      <c r="P21" s="2"/>
      <c r="Q21" s="18"/>
      <c r="R21" s="18"/>
      <c r="S21" s="2"/>
      <c r="T21" s="2"/>
      <c r="U21" s="2"/>
      <c r="V21" s="20"/>
      <c r="W21" s="2"/>
      <c r="X21" s="18"/>
      <c r="Y21" s="18"/>
      <c r="Z21" s="2"/>
      <c r="AA21" s="2"/>
      <c r="AB21" s="2"/>
      <c r="AC21" s="20"/>
      <c r="AD21" s="2"/>
      <c r="AE21" s="18"/>
      <c r="AF21" s="18"/>
      <c r="AG21" s="2"/>
      <c r="AH21" s="2"/>
      <c r="AI21" s="11">
        <f t="shared" si="7"/>
        <v>0</v>
      </c>
      <c r="AJ21" s="12">
        <f t="shared" si="8"/>
        <v>0</v>
      </c>
      <c r="AK21" s="13">
        <f t="shared" si="9"/>
        <v>0</v>
      </c>
      <c r="AL21" s="14">
        <f t="shared" si="10"/>
        <v>0</v>
      </c>
      <c r="AM21" s="14">
        <f t="shared" si="11"/>
        <v>0</v>
      </c>
      <c r="AN21" s="15">
        <f t="shared" si="12"/>
        <v>0</v>
      </c>
      <c r="AO21" s="16">
        <f t="shared" si="13"/>
        <v>0</v>
      </c>
      <c r="AP21" s="17"/>
    </row>
  </sheetData>
  <autoFilter ref="A1:AP1" xr:uid="{00000000-0001-0000-0400-000000000000}"/>
  <phoneticPr fontId="2"/>
  <conditionalFormatting sqref="E2:E20">
    <cfRule type="containsText" dxfId="38" priority="32" operator="containsText" text="せん">
      <formula>NOT(ISERROR(SEARCH("せん",E2)))</formula>
    </cfRule>
    <cfRule type="containsText" dxfId="37" priority="33" operator="containsText" text="セ">
      <formula>NOT(ISERROR(SEARCH("セ",E2)))</formula>
    </cfRule>
    <cfRule type="containsText" dxfId="36" priority="34" operator="containsText" text="牝">
      <formula>NOT(ISERROR(SEARCH("牝",E2)))</formula>
    </cfRule>
  </conditionalFormatting>
  <conditionalFormatting sqref="H2:H20">
    <cfRule type="containsText" dxfId="35" priority="23" operator="containsText" text="中京">
      <formula>NOT(ISERROR(SEARCH("中京",H2)))</formula>
    </cfRule>
  </conditionalFormatting>
  <conditionalFormatting sqref="J2:J20 Q2:Q20 X2:X20 AE2:AE20">
    <cfRule type="cellIs" dxfId="34" priority="18" operator="between">
      <formula>3</formula>
      <formula>4</formula>
    </cfRule>
    <cfRule type="cellIs" dxfId="33" priority="19" operator="equal">
      <formula>2</formula>
    </cfRule>
    <cfRule type="cellIs" dxfId="32" priority="20" operator="equal">
      <formula>1</formula>
    </cfRule>
  </conditionalFormatting>
  <conditionalFormatting sqref="K2:K20 R2:R20 Y2:Y20 AF2:AF20">
    <cfRule type="cellIs" dxfId="31" priority="17" operator="lessThanOrEqual">
      <formula>0.6</formula>
    </cfRule>
  </conditionalFormatting>
  <conditionalFormatting sqref="O2:O20 V2:V20">
    <cfRule type="containsText" dxfId="30" priority="22" operator="containsText" text="中京">
      <formula>NOT(ISERROR(SEARCH("中京",O2)))</formula>
    </cfRule>
  </conditionalFormatting>
  <conditionalFormatting sqref="AC2:AC20">
    <cfRule type="containsText" dxfId="29" priority="21" operator="containsText" text="中京">
      <formula>NOT(ISERROR(SEARCH("中京",AC2)))</formula>
    </cfRule>
  </conditionalFormatting>
  <conditionalFormatting sqref="AP2:AP20">
    <cfRule type="containsText" dxfId="28" priority="24" operator="containsText" text="先行">
      <formula>NOT(ISERROR(SEARCH("先行",AP2)))</formula>
    </cfRule>
    <cfRule type="containsText" dxfId="27" priority="25" operator="containsText" text="逃げ">
      <formula>NOT(ISERROR(SEARCH("逃げ",AP2)))</formula>
    </cfRule>
    <cfRule type="containsText" dxfId="26" priority="26" operator="containsText" text="先行差し">
      <formula>NOT(ISERROR(SEARCH("先行差し",AP2)))</formula>
    </cfRule>
  </conditionalFormatting>
  <conditionalFormatting sqref="AI2:AI20">
    <cfRule type="top10" dxfId="25" priority="35" bottom="1" rank="4"/>
  </conditionalFormatting>
  <conditionalFormatting sqref="AJ2:AJ20">
    <cfRule type="top10" dxfId="24" priority="36" bottom="1" rank="4"/>
  </conditionalFormatting>
  <conditionalFormatting sqref="AK2:AK20">
    <cfRule type="top10" dxfId="23" priority="37" rank="4"/>
  </conditionalFormatting>
  <conditionalFormatting sqref="AL2:AN20">
    <cfRule type="top10" dxfId="22" priority="38" rank="4"/>
  </conditionalFormatting>
  <conditionalFormatting sqref="AO2:AO20">
    <cfRule type="top10" dxfId="21" priority="39" rank="4"/>
  </conditionalFormatting>
  <conditionalFormatting sqref="E21">
    <cfRule type="containsText" dxfId="15" priority="9" operator="containsText" text="せん">
      <formula>NOT(ISERROR(SEARCH("せん",E21)))</formula>
    </cfRule>
    <cfRule type="containsText" dxfId="14" priority="10" operator="containsText" text="セ">
      <formula>NOT(ISERROR(SEARCH("セ",E21)))</formula>
    </cfRule>
    <cfRule type="containsText" dxfId="13" priority="11" operator="containsText" text="牝">
      <formula>NOT(ISERROR(SEARCH("牝",E21)))</formula>
    </cfRule>
  </conditionalFormatting>
  <conditionalFormatting sqref="H21 O21 V21 AC21">
    <cfRule type="containsText" dxfId="12" priority="5" operator="containsText" text="中山">
      <formula>NOT(ISERROR(SEARCH("中山",H21)))</formula>
    </cfRule>
  </conditionalFormatting>
  <conditionalFormatting sqref="J21 Q21 X21 AE21">
    <cfRule type="cellIs" dxfId="11" priority="2" operator="between">
      <formula>3</formula>
      <formula>4</formula>
    </cfRule>
    <cfRule type="cellIs" dxfId="10" priority="3" operator="equal">
      <formula>2</formula>
    </cfRule>
    <cfRule type="cellIs" dxfId="9" priority="4" operator="equal">
      <formula>1</formula>
    </cfRule>
  </conditionalFormatting>
  <conditionalFormatting sqref="K21 R21 Y21 AF21">
    <cfRule type="cellIs" dxfId="8" priority="1" operator="lessThanOrEqual">
      <formula>0.6</formula>
    </cfRule>
  </conditionalFormatting>
  <conditionalFormatting sqref="AP21">
    <cfRule type="containsText" dxfId="7" priority="6" operator="containsText" text="先行">
      <formula>NOT(ISERROR(SEARCH("先行",AP21)))</formula>
    </cfRule>
    <cfRule type="containsText" dxfId="6" priority="7" operator="containsText" text="逃げ">
      <formula>NOT(ISERROR(SEARCH("逃げ",AP21)))</formula>
    </cfRule>
    <cfRule type="containsText" dxfId="5" priority="8" operator="containsText" text="先行差し">
      <formula>NOT(ISERROR(SEARCH("先行差し",AP21)))</formula>
    </cfRule>
  </conditionalFormatting>
  <conditionalFormatting sqref="AI21">
    <cfRule type="top10" dxfId="4" priority="12" bottom="1" rank="4"/>
  </conditionalFormatting>
  <conditionalFormatting sqref="AJ21">
    <cfRule type="top10" dxfId="3" priority="13" bottom="1" rank="4"/>
  </conditionalFormatting>
  <conditionalFormatting sqref="AK21">
    <cfRule type="top10" dxfId="2" priority="14" rank="4"/>
  </conditionalFormatting>
  <conditionalFormatting sqref="AL21:AN21">
    <cfRule type="top10" dxfId="1" priority="15" rank="4"/>
  </conditionalFormatting>
  <conditionalFormatting sqref="AO21">
    <cfRule type="top10" dxfId="0" priority="16" rank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WIN 1</vt:lpstr>
      <vt:lpstr>WIN 2</vt:lpstr>
      <vt:lpstr>WIN 3</vt:lpstr>
      <vt:lpstr>WIN 4</vt:lpstr>
      <vt:lpstr>WIN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 入江</cp:lastModifiedBy>
  <dcterms:created xsi:type="dcterms:W3CDTF">2026-03-25T07:15:18Z</dcterms:created>
  <dcterms:modified xsi:type="dcterms:W3CDTF">2026-04-04T06:34:08Z</dcterms:modified>
</cp:coreProperties>
</file>