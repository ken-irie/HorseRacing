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\02_programs\01_horse_racing\HorseRacing\win5_cards_export\"/>
    </mc:Choice>
  </mc:AlternateContent>
  <xr:revisionPtr revIDLastSave="0" documentId="13_ncr:1_{2BA755F0-65C7-4FBB-B279-0C3FBA3F525B}" xr6:coauthVersionLast="47" xr6:coauthVersionMax="47" xr10:uidLastSave="{00000000-0000-0000-0000-000000000000}"/>
  <bookViews>
    <workbookView xWindow="-120" yWindow="-120" windowWidth="29040" windowHeight="15720" firstSheet="1" activeTab="1" xr2:uid="{F5095F6D-2853-4445-8829-8A6709F94A0F}"/>
  </bookViews>
  <sheets>
    <sheet name="WIN５ (馬名) (1222_1)" sheetId="46" state="hidden" r:id="rId1"/>
    <sheet name="オッズデータ入力" sheetId="196" r:id="rId2"/>
  </sheets>
  <definedNames>
    <definedName name="_xlnm._FilterDatabase" localSheetId="1" hidden="1">オッズデータ入力!$Z$7:$AG$7</definedName>
    <definedName name="_xlnm.Print_Area" localSheetId="1">オッズデータ入力!$A$1:$BI$37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5" i="196" l="1"/>
  <c r="AX25" i="196"/>
  <c r="AY24" i="196"/>
  <c r="AX24" i="196"/>
  <c r="AY23" i="196"/>
  <c r="AX23" i="196"/>
  <c r="AY22" i="196"/>
  <c r="AX22" i="196"/>
  <c r="AY21" i="196"/>
  <c r="AX21" i="196"/>
  <c r="AY20" i="196"/>
  <c r="AX20" i="196"/>
  <c r="AY19" i="196"/>
  <c r="AX19" i="196"/>
  <c r="AY18" i="196"/>
  <c r="AX18" i="196"/>
  <c r="AY17" i="196"/>
  <c r="AX17" i="196"/>
  <c r="AY16" i="196"/>
  <c r="AX16" i="196"/>
  <c r="AY15" i="196"/>
  <c r="AX15" i="196"/>
  <c r="AY14" i="196"/>
  <c r="AX14" i="196"/>
  <c r="AY13" i="196"/>
  <c r="AX13" i="196"/>
  <c r="AY12" i="196"/>
  <c r="AX12" i="196"/>
  <c r="AY11" i="196"/>
  <c r="AX11" i="196"/>
  <c r="AY10" i="196"/>
  <c r="AX10" i="196"/>
  <c r="AY9" i="196"/>
  <c r="AX9" i="196"/>
  <c r="AY8" i="196"/>
  <c r="AM25" i="196"/>
  <c r="AL25" i="196"/>
  <c r="AM24" i="196"/>
  <c r="AL24" i="196"/>
  <c r="AM23" i="196"/>
  <c r="AL23" i="196"/>
  <c r="AM22" i="196"/>
  <c r="AL22" i="196"/>
  <c r="AM21" i="196"/>
  <c r="AL21" i="196"/>
  <c r="AM20" i="196"/>
  <c r="AL20" i="196"/>
  <c r="AM19" i="196"/>
  <c r="AL19" i="196"/>
  <c r="AM18" i="196"/>
  <c r="AL18" i="196"/>
  <c r="AM17" i="196"/>
  <c r="AL17" i="196"/>
  <c r="AM16" i="196"/>
  <c r="AL16" i="196"/>
  <c r="AM15" i="196"/>
  <c r="AL15" i="196"/>
  <c r="AM14" i="196"/>
  <c r="AL14" i="196"/>
  <c r="AM13" i="196"/>
  <c r="AL13" i="196"/>
  <c r="AM12" i="196"/>
  <c r="AL12" i="196"/>
  <c r="AM11" i="196"/>
  <c r="AL11" i="196"/>
  <c r="AM10" i="196"/>
  <c r="AL10" i="196"/>
  <c r="AM9" i="196"/>
  <c r="AL9" i="196"/>
  <c r="AM8" i="196"/>
  <c r="AA25" i="196"/>
  <c r="Z25" i="196"/>
  <c r="AA24" i="196"/>
  <c r="Z24" i="196"/>
  <c r="AA23" i="196"/>
  <c r="Z23" i="196"/>
  <c r="AA22" i="196"/>
  <c r="Z22" i="196"/>
  <c r="AA21" i="196"/>
  <c r="Z21" i="196"/>
  <c r="AA20" i="196"/>
  <c r="Z20" i="196"/>
  <c r="AA19" i="196"/>
  <c r="Z19" i="196"/>
  <c r="AA18" i="196"/>
  <c r="Z18" i="196"/>
  <c r="AA17" i="196"/>
  <c r="Z17" i="196"/>
  <c r="AA16" i="196"/>
  <c r="Z16" i="196"/>
  <c r="AA15" i="196"/>
  <c r="Z15" i="196"/>
  <c r="AA14" i="196"/>
  <c r="Z14" i="196"/>
  <c r="AA13" i="196"/>
  <c r="Z13" i="196"/>
  <c r="AA12" i="196"/>
  <c r="Z12" i="196"/>
  <c r="AA11" i="196"/>
  <c r="Z11" i="196"/>
  <c r="AA10" i="196"/>
  <c r="Z10" i="196"/>
  <c r="AA9" i="196"/>
  <c r="Z9" i="196"/>
  <c r="AA8" i="196"/>
  <c r="N11" i="196"/>
  <c r="O25" i="196"/>
  <c r="N25" i="196"/>
  <c r="O24" i="196"/>
  <c r="N24" i="196"/>
  <c r="O23" i="196"/>
  <c r="N23" i="196"/>
  <c r="O22" i="196"/>
  <c r="N22" i="196"/>
  <c r="O21" i="196"/>
  <c r="N21" i="196"/>
  <c r="O20" i="196"/>
  <c r="N20" i="196"/>
  <c r="O19" i="196"/>
  <c r="N19" i="196"/>
  <c r="O18" i="196"/>
  <c r="N18" i="196"/>
  <c r="O17" i="196"/>
  <c r="N17" i="196"/>
  <c r="O16" i="196"/>
  <c r="N16" i="196"/>
  <c r="O15" i="196"/>
  <c r="N15" i="196"/>
  <c r="O14" i="196"/>
  <c r="N14" i="196"/>
  <c r="O13" i="196"/>
  <c r="N13" i="196"/>
  <c r="O12" i="196"/>
  <c r="N12" i="196"/>
  <c r="O11" i="196"/>
  <c r="O10" i="196"/>
  <c r="N10" i="196"/>
  <c r="O9" i="196"/>
  <c r="N9" i="196"/>
  <c r="O8" i="196"/>
  <c r="B10" i="196"/>
  <c r="B11" i="196"/>
  <c r="B9" i="196"/>
  <c r="B12" i="196"/>
  <c r="B13" i="196"/>
  <c r="B14" i="196"/>
  <c r="B15" i="196"/>
  <c r="B16" i="196"/>
  <c r="B17" i="196"/>
  <c r="B18" i="196"/>
  <c r="B19" i="196"/>
  <c r="B20" i="196"/>
  <c r="B21" i="196"/>
  <c r="B22" i="196"/>
  <c r="B23" i="196"/>
  <c r="B24" i="196"/>
  <c r="B25" i="196"/>
  <c r="C9" i="196"/>
  <c r="C10" i="196"/>
  <c r="C11" i="196"/>
  <c r="C12" i="196"/>
  <c r="C13" i="196"/>
  <c r="C14" i="196"/>
  <c r="C15" i="196"/>
  <c r="C16" i="196"/>
  <c r="C17" i="196"/>
  <c r="C18" i="196"/>
  <c r="C19" i="196"/>
  <c r="C20" i="196"/>
  <c r="C21" i="196"/>
  <c r="C22" i="196"/>
  <c r="C23" i="196"/>
  <c r="C24" i="196"/>
  <c r="C25" i="196"/>
  <c r="C8" i="196"/>
  <c r="F2" i="196" l="1"/>
  <c r="P25" i="196" l="1"/>
  <c r="E27" i="196" l="1"/>
  <c r="Q27" i="196"/>
  <c r="AC27" i="196"/>
  <c r="AO27" i="196"/>
  <c r="BA27" i="196"/>
  <c r="AZ25" i="196" l="1"/>
  <c r="AZ24" i="196"/>
</calcChain>
</file>

<file path=xl/sharedStrings.xml><?xml version="1.0" encoding="utf-8"?>
<sst xmlns="http://schemas.openxmlformats.org/spreadsheetml/2006/main" count="216" uniqueCount="147">
  <si>
    <t>４回目</t>
    <rPh sb="1" eb="3">
      <t>カイメ</t>
    </rPh>
    <phoneticPr fontId="1"/>
  </si>
  <si>
    <t>馬番</t>
    <rPh sb="0" eb="2">
      <t>ウマバン</t>
    </rPh>
    <phoneticPr fontId="1"/>
  </si>
  <si>
    <t>１回目</t>
    <rPh sb="1" eb="3">
      <t>カイメ</t>
    </rPh>
    <phoneticPr fontId="1"/>
  </si>
  <si>
    <t>２回目</t>
    <rPh sb="1" eb="3">
      <t>カイメ</t>
    </rPh>
    <phoneticPr fontId="1"/>
  </si>
  <si>
    <t>３回目</t>
    <rPh sb="1" eb="3">
      <t>カイメ</t>
    </rPh>
    <phoneticPr fontId="1"/>
  </si>
  <si>
    <t>５回目</t>
    <rPh sb="1" eb="3">
      <t>カイメ</t>
    </rPh>
    <phoneticPr fontId="1"/>
  </si>
  <si>
    <t>人気</t>
    <rPh sb="0" eb="2">
      <t>ニンキ</t>
    </rPh>
    <phoneticPr fontId="1"/>
  </si>
  <si>
    <t>WIN５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</si>
  <si>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</si>
  <si>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</si>
  <si>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</si>
  <si>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</si>
  <si>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</si>
  <si>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</si>
  <si>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</si>
  <si>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中山9R</t>
    <rPh sb="0" eb="2">
      <t>ナカヤマ</t>
    </rPh>
    <phoneticPr fontId="1"/>
  </si>
  <si>
    <t>京都10R</t>
    <rPh sb="0" eb="2">
      <t>キョウト</t>
    </rPh>
    <phoneticPr fontId="1"/>
  </si>
  <si>
    <t>中山10R</t>
    <rPh sb="0" eb="2">
      <t>ナカヤマ</t>
    </rPh>
    <phoneticPr fontId="1"/>
  </si>
  <si>
    <t>中山11R</t>
    <rPh sb="0" eb="2">
      <t>ナカヤマ</t>
    </rPh>
    <phoneticPr fontId="1"/>
  </si>
  <si>
    <t>グッドラックハンデ（２５００ｍ）</t>
    <phoneticPr fontId="1"/>
  </si>
  <si>
    <t>アバンデル55</t>
    <phoneticPr fontId="1"/>
  </si>
  <si>
    <t>シュプリーム54</t>
    <phoneticPr fontId="1"/>
  </si>
  <si>
    <t>スズノマーベリック55騙8</t>
    <rPh sb="11" eb="12">
      <t>カタ</t>
    </rPh>
    <phoneticPr fontId="1"/>
  </si>
  <si>
    <t>スピーディブレイク55T.マーカンド</t>
    <phoneticPr fontId="1"/>
  </si>
  <si>
    <t>ノーブルクライ56</t>
    <phoneticPr fontId="1"/>
  </si>
  <si>
    <t>フロムナウオン55</t>
    <phoneticPr fontId="1"/>
  </si>
  <si>
    <t>プレイリードリーム56</t>
    <phoneticPr fontId="1"/>
  </si>
  <si>
    <t>ハイラント54</t>
    <phoneticPr fontId="1"/>
  </si>
  <si>
    <t>ホウオウサンデー</t>
    <phoneticPr fontId="1"/>
  </si>
  <si>
    <t>エラトー牝３</t>
    <rPh sb="4" eb="5">
      <t>ヒン</t>
    </rPh>
    <phoneticPr fontId="1"/>
  </si>
  <si>
    <t>ガイアメンテ</t>
    <phoneticPr fontId="1"/>
  </si>
  <si>
    <t>ゲンパチムサシ</t>
    <phoneticPr fontId="1"/>
  </si>
  <si>
    <t>シャザーン</t>
    <phoneticPr fontId="1"/>
  </si>
  <si>
    <t>シュタールヴィント</t>
    <phoneticPr fontId="1"/>
  </si>
  <si>
    <t>セレブレイトガイズ</t>
    <phoneticPr fontId="1"/>
  </si>
  <si>
    <t>ドットクルー</t>
    <phoneticPr fontId="1"/>
  </si>
  <si>
    <t>ニホンピロタイズ</t>
    <phoneticPr fontId="1"/>
  </si>
  <si>
    <t>ニューノーマル牝5</t>
    <rPh sb="7" eb="8">
      <t>ヒン</t>
    </rPh>
    <phoneticPr fontId="1"/>
  </si>
  <si>
    <t>モズロックンロール</t>
    <phoneticPr fontId="1"/>
  </si>
  <si>
    <t>ロワンディシー</t>
    <phoneticPr fontId="1"/>
  </si>
  <si>
    <t>サンタクロスS（2000ｍ）</t>
    <phoneticPr fontId="1"/>
  </si>
  <si>
    <t>ジッピーレーサー</t>
    <phoneticPr fontId="1"/>
  </si>
  <si>
    <t>ツルマウカタチ</t>
    <phoneticPr fontId="1"/>
  </si>
  <si>
    <t>トーセントラム</t>
    <phoneticPr fontId="1"/>
  </si>
  <si>
    <t>ハワイアンタイム　騙４</t>
    <rPh sb="9" eb="10">
      <t>カタ</t>
    </rPh>
    <phoneticPr fontId="1"/>
  </si>
  <si>
    <t>ピックアチェリー牝３</t>
    <rPh sb="8" eb="9">
      <t>ヒン</t>
    </rPh>
    <phoneticPr fontId="1"/>
  </si>
  <si>
    <t>ブルトンクール牝５</t>
    <rPh sb="7" eb="8">
      <t>ヒン</t>
    </rPh>
    <phoneticPr fontId="1"/>
  </si>
  <si>
    <t>ユキノロイヤル</t>
    <phoneticPr fontId="1"/>
  </si>
  <si>
    <t>ララマセラシオン</t>
    <phoneticPr fontId="1"/>
  </si>
  <si>
    <t>ルージュイストリア牝４</t>
    <rPh sb="9" eb="10">
      <t>ヒン</t>
    </rPh>
    <phoneticPr fontId="1"/>
  </si>
  <si>
    <t>ロゼル</t>
    <phoneticPr fontId="1"/>
  </si>
  <si>
    <t>ケイケイ騙3</t>
    <rPh sb="4" eb="5">
      <t>カタ</t>
    </rPh>
    <phoneticPr fontId="1"/>
  </si>
  <si>
    <t>アーレンダール牝５</t>
    <rPh sb="7" eb="8">
      <t>ヒン</t>
    </rPh>
    <phoneticPr fontId="1"/>
  </si>
  <si>
    <t>京都11R</t>
    <rPh sb="0" eb="2">
      <t>キョウト</t>
    </rPh>
    <phoneticPr fontId="1"/>
  </si>
  <si>
    <t>りんくうステークス（1200ｍ）</t>
    <phoneticPr fontId="1"/>
  </si>
  <si>
    <t>オルフェーヴルC（1600ｍ）</t>
    <phoneticPr fontId="1"/>
  </si>
  <si>
    <t>エーティーマクフィ57</t>
    <phoneticPr fontId="1"/>
  </si>
  <si>
    <t>オメガシンフォニー55牝４</t>
    <rPh sb="11" eb="12">
      <t>ヒン</t>
    </rPh>
    <phoneticPr fontId="1"/>
  </si>
  <si>
    <t>カルネアサーダ56牝５</t>
    <rPh sb="9" eb="10">
      <t>ヒン</t>
    </rPh>
    <phoneticPr fontId="1"/>
  </si>
  <si>
    <t>クリノマジン57</t>
    <phoneticPr fontId="1"/>
  </si>
  <si>
    <t>スターターン56</t>
    <phoneticPr fontId="1"/>
  </si>
  <si>
    <t>ドンアミティエ57</t>
    <phoneticPr fontId="1"/>
  </si>
  <si>
    <t>パラシュラーマ57</t>
    <phoneticPr fontId="1"/>
  </si>
  <si>
    <t>ファーンヒル57</t>
    <phoneticPr fontId="1"/>
  </si>
  <si>
    <t>ボナンザ57</t>
    <phoneticPr fontId="1"/>
  </si>
  <si>
    <t>ロードラディウス57</t>
    <phoneticPr fontId="1"/>
  </si>
  <si>
    <t>ダノンデサイル横山典弘</t>
    <phoneticPr fontId="1"/>
  </si>
  <si>
    <t>ブローザホーン菅原明良</t>
    <phoneticPr fontId="1"/>
  </si>
  <si>
    <t>ベラジオオペラ横山和生</t>
    <phoneticPr fontId="1"/>
  </si>
  <si>
    <t>ローシャムパークT.マーカンド</t>
    <phoneticPr fontId="1"/>
  </si>
  <si>
    <t>ディープボンド幸英明</t>
    <phoneticPr fontId="1"/>
  </si>
  <si>
    <t>プログノーシス三浦皇成</t>
    <phoneticPr fontId="1"/>
  </si>
  <si>
    <t>ジャスティンパレス坂井瑠星</t>
    <phoneticPr fontId="1"/>
  </si>
  <si>
    <t>シュトルーヴェ鮫島克駿</t>
    <phoneticPr fontId="1"/>
  </si>
  <si>
    <t>スタンニングローズR.ムーア</t>
    <phoneticPr fontId="1"/>
  </si>
  <si>
    <t>ダノンベルーガ松山弘平</t>
    <phoneticPr fontId="1"/>
  </si>
  <si>
    <t>ハヤヤッコ吉田豊</t>
    <phoneticPr fontId="1"/>
  </si>
  <si>
    <t>ウインマイルート56H.ドイル</t>
    <phoneticPr fontId="1"/>
  </si>
  <si>
    <t>グランアルティスタ55武豊</t>
    <phoneticPr fontId="1"/>
  </si>
  <si>
    <t>サンライズソレイユ55坂井瑠星</t>
    <phoneticPr fontId="1"/>
  </si>
  <si>
    <r>
      <rPr>
        <sz val="11"/>
        <color rgb="FFFF0000"/>
        <rFont val="ＭＳ ゴシック"/>
        <family val="3"/>
        <charset val="128"/>
      </rPr>
      <t>ドゥデュース</t>
    </r>
    <r>
      <rPr>
        <sz val="11"/>
        <rFont val="ＭＳ ゴシック"/>
        <family val="3"/>
        <charset val="128"/>
      </rPr>
      <t>武豊</t>
    </r>
    <rPh sb="6" eb="7">
      <t>タケ</t>
    </rPh>
    <rPh sb="7" eb="8">
      <t>ユタカ</t>
    </rPh>
    <phoneticPr fontId="1"/>
  </si>
  <si>
    <r>
      <t>アーバンシック</t>
    </r>
    <r>
      <rPr>
        <sz val="11"/>
        <color rgb="FFFF0000"/>
        <rFont val="ＭＳ ゴシック"/>
        <family val="3"/>
        <charset val="128"/>
      </rPr>
      <t>Ｃ．ルメール</t>
    </r>
    <phoneticPr fontId="1"/>
  </si>
  <si>
    <r>
      <t>スターズオンアース</t>
    </r>
    <r>
      <rPr>
        <sz val="11"/>
        <color rgb="FFFF0000"/>
        <rFont val="ＭＳ ゴシック"/>
        <family val="3"/>
        <charset val="128"/>
      </rPr>
      <t>川田将雅</t>
    </r>
    <phoneticPr fontId="1"/>
  </si>
  <si>
    <r>
      <t>レガレイラ</t>
    </r>
    <r>
      <rPr>
        <sz val="11"/>
        <color rgb="FFFF0000"/>
        <rFont val="ＭＳ ゴシック"/>
        <family val="3"/>
        <charset val="128"/>
      </rPr>
      <t>戸崎圭太</t>
    </r>
    <phoneticPr fontId="1"/>
  </si>
  <si>
    <r>
      <t>シャフリヤール</t>
    </r>
    <r>
      <rPr>
        <sz val="11"/>
        <color rgb="FFFF0000"/>
        <rFont val="ＭＳ ゴシック"/>
        <family val="3"/>
        <charset val="128"/>
      </rPr>
      <t>C.デムーロ</t>
    </r>
    <phoneticPr fontId="1"/>
  </si>
  <si>
    <r>
      <rPr>
        <sz val="11"/>
        <color rgb="FFFF0000"/>
        <rFont val="ＭＳ ゴシック"/>
        <family val="3"/>
        <charset val="128"/>
      </rPr>
      <t>エラン</t>
    </r>
    <r>
      <rPr>
        <sz val="11"/>
        <rFont val="ＭＳ ゴシック"/>
        <family val="3"/>
        <charset val="128"/>
      </rPr>
      <t>ティス55牝４</t>
    </r>
    <rPh sb="8" eb="9">
      <t>ヒン</t>
    </rPh>
    <phoneticPr fontId="1"/>
  </si>
  <si>
    <r>
      <t>ジャングロ59</t>
    </r>
    <r>
      <rPr>
        <sz val="11"/>
        <color rgb="FFFF0000"/>
        <rFont val="ＭＳ ゴシック"/>
        <family val="3"/>
        <charset val="128"/>
      </rPr>
      <t>団野大成</t>
    </r>
    <rPh sb="7" eb="11">
      <t>ダンノタイセイ</t>
    </rPh>
    <phoneticPr fontId="1"/>
  </si>
  <si>
    <r>
      <t>ジョーローリット54</t>
    </r>
    <r>
      <rPr>
        <sz val="11"/>
        <color rgb="FFFF0000"/>
        <rFont val="ＭＳ ゴシック"/>
        <family val="3"/>
        <charset val="128"/>
      </rPr>
      <t>M.デムーロ</t>
    </r>
    <phoneticPr fontId="1"/>
  </si>
  <si>
    <r>
      <rPr>
        <sz val="11"/>
        <color rgb="FFFF0000"/>
        <rFont val="ＭＳ ゴシック"/>
        <family val="3"/>
        <charset val="128"/>
      </rPr>
      <t>ダノンセシボン</t>
    </r>
    <r>
      <rPr>
        <sz val="11"/>
        <rFont val="ＭＳ ゴシック"/>
        <family val="3"/>
        <charset val="128"/>
      </rPr>
      <t>55牝４</t>
    </r>
    <rPh sb="9" eb="10">
      <t>ヒン</t>
    </rPh>
    <phoneticPr fontId="1"/>
  </si>
  <si>
    <r>
      <rPr>
        <sz val="11"/>
        <color rgb="FFFF0000"/>
        <rFont val="ＭＳ ゴシック"/>
        <family val="3"/>
        <charset val="128"/>
      </rPr>
      <t>ハチメンロッピ</t>
    </r>
    <r>
      <rPr>
        <sz val="11"/>
        <rFont val="ＭＳ ゴシック"/>
        <family val="3"/>
        <charset val="128"/>
      </rPr>
      <t>57</t>
    </r>
    <phoneticPr fontId="1"/>
  </si>
  <si>
    <r>
      <rPr>
        <sz val="11"/>
        <color rgb="FFFF0000"/>
        <rFont val="ＭＳ ゴシック"/>
        <family val="3"/>
        <charset val="128"/>
      </rPr>
      <t>メズメライザー</t>
    </r>
    <r>
      <rPr>
        <sz val="11"/>
        <rFont val="ＭＳ ゴシック"/>
        <family val="3"/>
        <charset val="128"/>
      </rPr>
      <t>57騙5</t>
    </r>
    <rPh sb="9" eb="10">
      <t>カタ</t>
    </rPh>
    <phoneticPr fontId="1"/>
  </si>
  <si>
    <r>
      <t>ウインアイオライト牝４</t>
    </r>
    <r>
      <rPr>
        <sz val="11"/>
        <color rgb="FFFF0000"/>
        <rFont val="ＭＳ ゴシック"/>
        <family val="3"/>
        <charset val="128"/>
      </rPr>
      <t>T.マーカンド</t>
    </r>
    <rPh sb="9" eb="10">
      <t>ヒン</t>
    </rPh>
    <phoneticPr fontId="1"/>
  </si>
  <si>
    <r>
      <t>ウインレイアー牝４</t>
    </r>
    <r>
      <rPr>
        <sz val="11"/>
        <color rgb="FFFF0000"/>
        <rFont val="ＭＳ ゴシック"/>
        <family val="3"/>
        <charset val="128"/>
      </rPr>
      <t>Ｈ．ドイル</t>
    </r>
    <rPh sb="7" eb="8">
      <t>ヒン</t>
    </rPh>
    <phoneticPr fontId="1"/>
  </si>
  <si>
    <r>
      <t>サロニコス</t>
    </r>
    <r>
      <rPr>
        <sz val="11"/>
        <color rgb="FFFF0000"/>
        <rFont val="ＭＳ ゴシック"/>
        <family val="3"/>
        <charset val="128"/>
      </rPr>
      <t>C.デムーロ</t>
    </r>
    <phoneticPr fontId="1"/>
  </si>
  <si>
    <r>
      <t>ラレーヌデリス牝４</t>
    </r>
    <r>
      <rPr>
        <sz val="11"/>
        <color rgb="FFFF0000"/>
        <rFont val="ＭＳ ゴシック"/>
        <family val="3"/>
        <charset val="128"/>
      </rPr>
      <t>戸崎圭太</t>
    </r>
    <rPh sb="7" eb="8">
      <t>ヒン</t>
    </rPh>
    <rPh sb="9" eb="13">
      <t>トサキケイタ</t>
    </rPh>
    <phoneticPr fontId="1"/>
  </si>
  <si>
    <r>
      <rPr>
        <sz val="11"/>
        <color rgb="FFFF0000"/>
        <rFont val="ＭＳ ゴシック"/>
        <family val="3"/>
        <charset val="128"/>
      </rPr>
      <t>エリダヌス</t>
    </r>
    <r>
      <rPr>
        <sz val="11"/>
        <rFont val="ＭＳ ゴシック"/>
        <family val="3"/>
        <charset val="128"/>
      </rPr>
      <t>牝４</t>
    </r>
    <rPh sb="5" eb="6">
      <t>ヒン</t>
    </rPh>
    <phoneticPr fontId="1"/>
  </si>
  <si>
    <r>
      <rPr>
        <sz val="11"/>
        <color rgb="FFFF0000"/>
        <rFont val="ＭＳ ゴシック"/>
        <family val="3"/>
        <charset val="128"/>
      </rPr>
      <t>ホウオウ</t>
    </r>
    <r>
      <rPr>
        <sz val="11"/>
        <rFont val="ＭＳ ゴシック"/>
        <family val="3"/>
        <charset val="128"/>
      </rPr>
      <t>プロサンゲ</t>
    </r>
    <phoneticPr fontId="1"/>
  </si>
  <si>
    <r>
      <t>ワイドアラジン</t>
    </r>
    <r>
      <rPr>
        <sz val="11"/>
        <color rgb="FFFF0000"/>
        <rFont val="ＭＳ ゴシック"/>
        <family val="3"/>
        <charset val="128"/>
      </rPr>
      <t>団野大成</t>
    </r>
    <rPh sb="7" eb="11">
      <t>ダンノタイセイ</t>
    </rPh>
    <phoneticPr fontId="1"/>
  </si>
  <si>
    <r>
      <t>アイザックバローズ57</t>
    </r>
    <r>
      <rPr>
        <sz val="11"/>
        <color rgb="FFFF0000"/>
        <rFont val="ＭＳ ゴシック"/>
        <family val="3"/>
        <charset val="128"/>
      </rPr>
      <t>川田将雅</t>
    </r>
    <rPh sb="11" eb="15">
      <t>カワダショウマサ</t>
    </rPh>
    <phoneticPr fontId="1"/>
  </si>
  <si>
    <r>
      <t>オリエンタルナイト54</t>
    </r>
    <r>
      <rPr>
        <sz val="11"/>
        <color rgb="FFFF0000"/>
        <rFont val="ＭＳ ゴシック"/>
        <family val="3"/>
        <charset val="128"/>
      </rPr>
      <t>戸崎圭太</t>
    </r>
    <phoneticPr fontId="1"/>
  </si>
  <si>
    <r>
      <t>カナオールウェイズ54</t>
    </r>
    <r>
      <rPr>
        <sz val="11"/>
        <color rgb="FFFF0000"/>
        <rFont val="ＭＳ ゴシック"/>
        <family val="3"/>
        <charset val="128"/>
      </rPr>
      <t>C.デムーロ</t>
    </r>
    <phoneticPr fontId="1"/>
  </si>
  <si>
    <r>
      <t>スティンガーグラス56</t>
    </r>
    <r>
      <rPr>
        <sz val="11"/>
        <color rgb="FFFF0000"/>
        <rFont val="ＭＳ ゴシック"/>
        <family val="3"/>
        <charset val="128"/>
      </rPr>
      <t>C.ルメール</t>
    </r>
    <phoneticPr fontId="1"/>
  </si>
  <si>
    <t>有馬記念（中山芝2500ｍ）</t>
    <phoneticPr fontId="1"/>
  </si>
  <si>
    <t>日曜日</t>
    <rPh sb="0" eb="3">
      <t>ニチヨウビ</t>
    </rPh>
    <phoneticPr fontId="1"/>
  </si>
  <si>
    <t>人気順</t>
    <rPh sb="0" eb="3">
      <t>ニンキジュン</t>
    </rPh>
    <phoneticPr fontId="1"/>
  </si>
  <si>
    <t>ランク</t>
    <phoneticPr fontId="1"/>
  </si>
  <si>
    <t>オッズ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</si>
  <si>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/>
  </si>
  <si>
    <t>平均オッズ</t>
    <rPh sb="0" eb="2">
      <t>ヘイキン</t>
    </rPh>
    <phoneticPr fontId="1"/>
  </si>
  <si>
    <t>差</t>
    <rPh sb="0" eb="1">
      <t>サ</t>
    </rPh>
    <phoneticPr fontId="1"/>
  </si>
  <si>
    <t>１レース目</t>
    <rPh sb="4" eb="5">
      <t>メ</t>
    </rPh>
    <phoneticPr fontId="1"/>
  </si>
  <si>
    <t>２レース目</t>
    <rPh sb="4" eb="5">
      <t>メ</t>
    </rPh>
    <phoneticPr fontId="1"/>
  </si>
  <si>
    <t>３レース目</t>
    <rPh sb="4" eb="5">
      <t>メ</t>
    </rPh>
    <phoneticPr fontId="1"/>
  </si>
  <si>
    <t>５レース目</t>
    <rPh sb="4" eb="5">
      <t>メ</t>
    </rPh>
    <phoneticPr fontId="1"/>
  </si>
  <si>
    <t>馬名等</t>
    <rPh sb="0" eb="2">
      <t>バメイ</t>
    </rPh>
    <rPh sb="2" eb="3">
      <t>トウ</t>
    </rPh>
    <phoneticPr fontId="1"/>
  </si>
  <si>
    <t>４レース目</t>
    <rPh sb="4" eb="5">
      <t>メ</t>
    </rPh>
    <phoneticPr fontId="1"/>
  </si>
  <si>
    <t>中央競馬予想隊</t>
    <phoneticPr fontId="1"/>
  </si>
  <si>
    <t>消・買</t>
    <phoneticPr fontId="1"/>
  </si>
  <si>
    <t>おじさんの予想</t>
    <phoneticPr fontId="1"/>
  </si>
  <si>
    <t>統計分析</t>
    <phoneticPr fontId="1"/>
  </si>
  <si>
    <t>NUNO競馬</t>
    <phoneticPr fontId="1"/>
  </si>
  <si>
    <t>ムーケン</t>
  </si>
  <si>
    <t>斤量</t>
    <rPh sb="0" eb="2">
      <t>キンリョウ</t>
    </rPh>
    <phoneticPr fontId="1"/>
  </si>
  <si>
    <t>騎手名</t>
    <phoneticPr fontId="1"/>
  </si>
  <si>
    <t>性齢</t>
    <rPh sb="0" eb="1">
      <t>セイ</t>
    </rPh>
    <rPh sb="1" eb="2">
      <t>トシ</t>
    </rPh>
    <phoneticPr fontId="1"/>
  </si>
  <si>
    <t>荻野極</t>
  </si>
  <si>
    <t>佐々木</t>
  </si>
  <si>
    <t>マーカンド</t>
  </si>
  <si>
    <t>ルメール</t>
  </si>
  <si>
    <t>津村</t>
  </si>
  <si>
    <t>プーシャン</t>
  </si>
  <si>
    <t>戸崎圭</t>
  </si>
  <si>
    <t>松若</t>
  </si>
  <si>
    <t>鮫島駿</t>
  </si>
  <si>
    <t>菅原明</t>
  </si>
  <si>
    <t>石橋脩</t>
  </si>
  <si>
    <t>石川</t>
  </si>
  <si>
    <t>WIN１</t>
    <phoneticPr fontId="1"/>
  </si>
  <si>
    <t>吉田豊</t>
  </si>
  <si>
    <t>菅原隆</t>
  </si>
  <si>
    <t>WIN2</t>
    <phoneticPr fontId="1"/>
  </si>
  <si>
    <t>WIN3</t>
    <phoneticPr fontId="1"/>
  </si>
  <si>
    <t>WIN4</t>
    <phoneticPr fontId="1"/>
  </si>
  <si>
    <t>WIN5</t>
    <phoneticPr fontId="1"/>
  </si>
  <si>
    <t>締切：14時45分</t>
    <phoneticPr fontId="1"/>
  </si>
  <si>
    <t>人気順</t>
  </si>
  <si>
    <t>★★★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</si>
</sst>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name val="ＭＳ ゴシック"/>
      <family val="3"/>
      <charset val="128"/>
    </font>
    <font>
      <sz val="18"/>
      <name val="Yu Gothic"/>
      <family val="3"/>
      <charset val="128"/>
      <scheme val="minor"/>
    </font>
    <font>
      <sz val="11"/>
      <name val="Yu Gothic"/>
      <family val="2"/>
      <scheme val="minor"/>
    </font>
    <font>
      <b/>
      <sz val="11"/>
      <name val="Yu Gothic"/>
      <family val="2"/>
      <scheme val="minor"/>
    </font>
    <font>
      <sz val="14"/>
      <name val="Yu Gothic"/>
      <family val="2"/>
      <scheme val="minor"/>
    </font>
    <font>
      <b/>
      <sz val="14"/>
      <name val="Yu Gothic"/>
      <family val="3"/>
      <charset val="128"/>
      <scheme val="minor"/>
    </font>
    <font>
      <sz val="14"/>
      <name val="Yu Gothic"/>
      <family val="3"/>
      <charset val="128"/>
      <scheme val="minor"/>
    </font>
    <font>
      <sz val="11"/>
      <name val="ＭＳ ゴシック"/>
      <family val="3"/>
      <charset val="128"/>
    </font>
    <font>
      <b/>
      <sz val="11"/>
      <color rgb="FFFF0000"/>
      <name val="Yu Gothic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b/>
      <i/>
      <sz val="11"/>
      <name val="ＭＳ ゴシック"/>
      <family val="3"/>
      <charset val="128"/>
    </font>
    <font>
      <b/>
      <i/>
      <sz val="11"/>
      <color theme="1"/>
      <name val="ＭＳ 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Yu Gothic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12"/>
      <name val="Yu Gothic"/>
      <family val="3"/>
      <charset val="128"/>
      <scheme val="minor"/>
    </font>
    <font>
      <sz val="11"/>
      <color rgb="FF0070C0"/>
      <name val="Yu Gothic"/>
      <family val="3"/>
      <charset val="128"/>
      <scheme val="minor"/>
    </font>
    <font>
      <b/>
      <sz val="16"/>
      <name val="Yu Gothic"/>
      <family val="3"/>
      <charset val="128"/>
      <scheme val="minor"/>
    </font>
    <font>
      <b/>
      <sz val="20"/>
      <name val="Yu Gothic"/>
      <family val="3"/>
      <charset val="128"/>
      <scheme val="minor"/>
    </font>
    <font>
      <b/>
      <sz val="14"/>
      <name val="Segoe UI Symbol"/>
      <family val="3"/>
    </font>
    <font>
      <b/>
      <sz val="14"/>
      <name val="ＭＳ Ｐゴシック"/>
      <family val="3"/>
      <charset val="128"/>
    </font>
    <font>
      <b/>
      <sz val="24"/>
      <name val="Yu Gothic"/>
      <family val="3"/>
      <charset val="128"/>
      <scheme val="minor"/>
    </font>
    <font>
      <sz val="18"/>
      <name val="Yu Gothic"/>
      <family val="2"/>
      <scheme val="minor"/>
    </font>
    <font>
      <b/>
      <i/>
      <sz val="14"/>
      <name val="Yu Gothic"/>
      <family val="3"/>
      <charset val="128"/>
      <scheme val="minor"/>
    </font>
    <font>
      <b/>
      <sz val="24"/>
      <color rgb="FFFF0000"/>
      <name val="Yu Gothic"/>
      <family val="3"/>
      <charset val="128"/>
      <scheme val="minor"/>
    </font>
    <font>
      <b/>
      <sz val="2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n">
        <color theme="1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rgb="FFFF0000"/>
      </right>
      <top/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 applyAlignment="1">
      <alignment horizontal="center" shrinkToFit="1"/>
    </xf>
    <xf numFmtId="0" fontId="7" fillId="0" borderId="0" xfId="0" applyFont="1" applyAlignment="1">
      <alignment shrinkToFit="1"/>
    </xf>
    <xf numFmtId="0" fontId="4" fillId="0" borderId="32" xfId="0" applyFont="1" applyBorder="1" applyAlignment="1">
      <alignment horizontal="center" shrinkToFit="1"/>
    </xf>
    <xf numFmtId="0" fontId="4" fillId="0" borderId="9" xfId="0" applyFont="1" applyBorder="1" applyAlignment="1">
      <alignment horizontal="center" shrinkToFit="1"/>
    </xf>
    <xf numFmtId="0" fontId="4" fillId="0" borderId="12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4" fillId="0" borderId="8" xfId="0" applyFont="1" applyBorder="1" applyAlignment="1">
      <alignment horizontal="center" shrinkToFit="1"/>
    </xf>
    <xf numFmtId="0" fontId="4" fillId="0" borderId="11" xfId="0" applyFont="1" applyBorder="1" applyAlignment="1">
      <alignment horizont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0" fillId="0" borderId="44" xfId="0" applyBorder="1"/>
    <xf numFmtId="0" fontId="0" fillId="0" borderId="41" xfId="0" applyBorder="1"/>
    <xf numFmtId="0" fontId="7" fillId="0" borderId="0" xfId="0" applyFont="1" applyAlignment="1">
      <alignment horizontal="center" shrinkToFit="1"/>
    </xf>
    <xf numFmtId="0" fontId="5" fillId="0" borderId="0" xfId="0" applyFont="1" applyAlignment="1">
      <alignment vertical="center" shrinkToFit="1"/>
    </xf>
    <xf numFmtId="0" fontId="4" fillId="0" borderId="18" xfId="0" applyFont="1" applyBorder="1" applyAlignment="1">
      <alignment horizontal="center" shrinkToFit="1"/>
    </xf>
    <xf numFmtId="0" fontId="10" fillId="0" borderId="0" xfId="0" applyFont="1" applyAlignment="1">
      <alignment horizontal="center" shrinkToFit="1"/>
    </xf>
    <xf numFmtId="0" fontId="10" fillId="0" borderId="0" xfId="0" applyFont="1" applyAlignment="1">
      <alignment shrinkToFit="1"/>
    </xf>
    <xf numFmtId="0" fontId="11" fillId="0" borderId="0" xfId="0" applyFont="1" applyAlignment="1">
      <alignment horizontal="center" shrinkToFit="1"/>
    </xf>
    <xf numFmtId="0" fontId="11" fillId="0" borderId="0" xfId="0" applyFont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31" fontId="10" fillId="0" borderId="0" xfId="0" applyNumberFormat="1" applyFont="1" applyAlignment="1">
      <alignment shrinkToFit="1"/>
    </xf>
    <xf numFmtId="31" fontId="10" fillId="0" borderId="15" xfId="0" applyNumberFormat="1" applyFont="1" applyBorder="1" applyAlignment="1">
      <alignment shrinkToFit="1"/>
    </xf>
    <xf numFmtId="0" fontId="10" fillId="0" borderId="15" xfId="0" applyFont="1" applyBorder="1" applyAlignment="1">
      <alignment shrinkToFit="1"/>
    </xf>
    <xf numFmtId="0" fontId="13" fillId="0" borderId="8" xfId="0" applyFont="1" applyBorder="1" applyAlignment="1">
      <alignment horizontal="center" shrinkToFit="1"/>
    </xf>
    <xf numFmtId="0" fontId="13" fillId="0" borderId="33" xfId="0" applyFont="1" applyBorder="1" applyAlignment="1">
      <alignment horizontal="center" shrinkToFit="1"/>
    </xf>
    <xf numFmtId="0" fontId="12" fillId="0" borderId="14" xfId="0" applyFont="1" applyBorder="1" applyAlignment="1">
      <alignment horizontal="left" shrinkToFit="1"/>
    </xf>
    <xf numFmtId="0" fontId="12" fillId="0" borderId="10" xfId="0" applyFont="1" applyBorder="1" applyAlignment="1">
      <alignment horizontal="left" shrinkToFit="1"/>
    </xf>
    <xf numFmtId="0" fontId="12" fillId="0" borderId="13" xfId="0" applyFont="1" applyBorder="1" applyAlignment="1">
      <alignment horizontal="left" shrinkToFit="1"/>
    </xf>
    <xf numFmtId="0" fontId="12" fillId="0" borderId="32" xfId="0" applyFont="1" applyBorder="1" applyAlignment="1">
      <alignment horizontal="center" shrinkToFit="1"/>
    </xf>
    <xf numFmtId="0" fontId="12" fillId="0" borderId="9" xfId="0" applyFont="1" applyBorder="1" applyAlignment="1">
      <alignment horizontal="center" shrinkToFit="1"/>
    </xf>
    <xf numFmtId="0" fontId="14" fillId="0" borderId="9" xfId="0" applyFont="1" applyBorder="1" applyAlignment="1">
      <alignment horizontal="center" shrinkToFit="1"/>
    </xf>
    <xf numFmtId="0" fontId="12" fillId="0" borderId="12" xfId="0" applyFont="1" applyBorder="1" applyAlignment="1">
      <alignment horizontal="center" shrinkToFit="1"/>
    </xf>
    <xf numFmtId="0" fontId="12" fillId="0" borderId="14" xfId="0" applyFont="1" applyBorder="1" applyAlignment="1">
      <alignment horizontal="center" shrinkToFit="1"/>
    </xf>
    <xf numFmtId="0" fontId="12" fillId="0" borderId="10" xfId="0" applyFont="1" applyBorder="1" applyAlignment="1">
      <alignment horizontal="center" shrinkToFit="1"/>
    </xf>
    <xf numFmtId="0" fontId="14" fillId="0" borderId="10" xfId="0" applyFont="1" applyBorder="1" applyAlignment="1">
      <alignment horizontal="center" shrinkToFit="1"/>
    </xf>
    <xf numFmtId="0" fontId="12" fillId="0" borderId="13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31" fontId="10" fillId="0" borderId="1" xfId="0" applyNumberFormat="1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5" fillId="0" borderId="14" xfId="0" applyFont="1" applyBorder="1" applyAlignment="1">
      <alignment horizontal="center" shrinkToFit="1"/>
    </xf>
    <xf numFmtId="0" fontId="15" fillId="0" borderId="30" xfId="0" applyFont="1" applyBorder="1" applyAlignment="1">
      <alignment horizontal="center" shrinkToFit="1"/>
    </xf>
    <xf numFmtId="0" fontId="15" fillId="0" borderId="13" xfId="0" applyFont="1" applyBorder="1" applyAlignment="1">
      <alignment horizontal="center" shrinkToFit="1"/>
    </xf>
    <xf numFmtId="0" fontId="17" fillId="0" borderId="16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7" xfId="0" applyFont="1" applyBorder="1" applyAlignment="1">
      <alignment horizontal="center" shrinkToFit="1"/>
    </xf>
    <xf numFmtId="0" fontId="18" fillId="0" borderId="7" xfId="0" applyFont="1" applyBorder="1"/>
    <xf numFmtId="0" fontId="17" fillId="0" borderId="6" xfId="0" applyFont="1" applyBorder="1" applyAlignment="1">
      <alignment horizontal="center" shrinkToFit="1"/>
    </xf>
    <xf numFmtId="0" fontId="18" fillId="0" borderId="7" xfId="0" applyFont="1" applyBorder="1" applyAlignment="1">
      <alignment horizontal="center"/>
    </xf>
    <xf numFmtId="0" fontId="4" fillId="0" borderId="0" xfId="0" applyFont="1" applyAlignment="1">
      <alignment vertical="center" shrinkToFit="1"/>
    </xf>
    <xf numFmtId="0" fontId="19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22" fillId="0" borderId="27" xfId="0" applyFont="1" applyBorder="1" applyAlignment="1">
      <alignment horizontal="left" shrinkToFit="1"/>
    </xf>
    <xf numFmtId="0" fontId="11" fillId="0" borderId="27" xfId="0" applyFont="1" applyBorder="1" applyAlignment="1">
      <alignment horizontal="left" shrinkToFit="1"/>
    </xf>
    <xf numFmtId="176" fontId="4" fillId="0" borderId="4" xfId="0" applyNumberFormat="1" applyFont="1" applyBorder="1" applyAlignment="1">
      <alignment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shrinkToFit="1"/>
    </xf>
    <xf numFmtId="176" fontId="4" fillId="0" borderId="3" xfId="0" applyNumberFormat="1" applyFont="1" applyBorder="1" applyAlignment="1">
      <alignment horizontal="center" shrinkToFit="1"/>
    </xf>
    <xf numFmtId="0" fontId="2" fillId="0" borderId="4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5" fillId="0" borderId="4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20" fillId="0" borderId="0" xfId="0" applyFont="1" applyAlignment="1">
      <alignment shrinkToFit="1"/>
    </xf>
    <xf numFmtId="0" fontId="19" fillId="8" borderId="31" xfId="0" applyFont="1" applyFill="1" applyBorder="1" applyAlignment="1">
      <alignment horizontal="center" vertical="center" shrinkToFit="1"/>
    </xf>
    <xf numFmtId="0" fontId="24" fillId="0" borderId="52" xfId="0" applyFont="1" applyBorder="1" applyAlignment="1">
      <alignment horizontal="center" textRotation="255" shrinkToFit="1"/>
    </xf>
    <xf numFmtId="0" fontId="10" fillId="0" borderId="57" xfId="0" applyFont="1" applyBorder="1" applyAlignment="1">
      <alignment horizontal="center" shrinkToFit="1"/>
    </xf>
    <xf numFmtId="0" fontId="10" fillId="0" borderId="58" xfId="0" applyFont="1" applyBorder="1" applyAlignment="1">
      <alignment horizontal="center" shrinkToFit="1"/>
    </xf>
    <xf numFmtId="0" fontId="10" fillId="0" borderId="59" xfId="0" applyFont="1" applyBorder="1" applyAlignment="1">
      <alignment horizontal="center" shrinkToFit="1"/>
    </xf>
    <xf numFmtId="0" fontId="11" fillId="0" borderId="55" xfId="0" applyFont="1" applyBorder="1" applyAlignment="1">
      <alignment horizontal="left" shrinkToFit="1"/>
    </xf>
    <xf numFmtId="0" fontId="0" fillId="0" borderId="42" xfId="0" applyBorder="1"/>
    <xf numFmtId="0" fontId="0" fillId="0" borderId="71" xfId="0" applyBorder="1"/>
    <xf numFmtId="0" fontId="0" fillId="0" borderId="72" xfId="0" applyBorder="1"/>
    <xf numFmtId="0" fontId="0" fillId="0" borderId="45" xfId="0" applyBorder="1"/>
    <xf numFmtId="0" fontId="5" fillId="0" borderId="20" xfId="0" applyFont="1" applyBorder="1" applyAlignment="1">
      <alignment horizontal="center" shrinkToFit="1"/>
    </xf>
    <xf numFmtId="0" fontId="5" fillId="0" borderId="65" xfId="0" applyFont="1" applyBorder="1" applyAlignment="1">
      <alignment horizontal="center" shrinkToFit="1"/>
    </xf>
    <xf numFmtId="0" fontId="5" fillId="0" borderId="26" xfId="0" applyFont="1" applyBorder="1" applyAlignment="1">
      <alignment horizontal="center" shrinkToFit="1"/>
    </xf>
    <xf numFmtId="0" fontId="5" fillId="0" borderId="66" xfId="0" applyFont="1" applyBorder="1" applyAlignment="1">
      <alignment horizontal="center" shrinkToFit="1"/>
    </xf>
    <xf numFmtId="0" fontId="5" fillId="0" borderId="20" xfId="0" applyFont="1" applyBorder="1" applyAlignment="1">
      <alignment horizontal="center" wrapText="1" shrinkToFit="1"/>
    </xf>
    <xf numFmtId="0" fontId="5" fillId="0" borderId="65" xfId="0" applyFont="1" applyBorder="1" applyAlignment="1">
      <alignment horizontal="center" wrapText="1" shrinkToFit="1"/>
    </xf>
    <xf numFmtId="0" fontId="5" fillId="0" borderId="23" xfId="0" applyFont="1" applyBorder="1" applyAlignment="1">
      <alignment horizontal="center" shrinkToFit="1"/>
    </xf>
    <xf numFmtId="0" fontId="5" fillId="0" borderId="67" xfId="0" applyFont="1" applyBorder="1" applyAlignment="1">
      <alignment horizontal="center" shrinkToFit="1"/>
    </xf>
    <xf numFmtId="0" fontId="5" fillId="0" borderId="23" xfId="0" applyFont="1" applyBorder="1" applyAlignment="1">
      <alignment horizontal="center" wrapText="1" shrinkToFit="1"/>
    </xf>
    <xf numFmtId="0" fontId="5" fillId="0" borderId="67" xfId="0" applyFont="1" applyBorder="1" applyAlignment="1">
      <alignment horizontal="center" wrapText="1" shrinkToFit="1"/>
    </xf>
    <xf numFmtId="0" fontId="4" fillId="0" borderId="26" xfId="0" applyFont="1" applyBorder="1" applyAlignment="1">
      <alignment horizontal="center" shrinkToFit="1"/>
    </xf>
    <xf numFmtId="0" fontId="4" fillId="0" borderId="66" xfId="0" applyFont="1" applyBorder="1" applyAlignment="1">
      <alignment horizontal="center" shrinkToFit="1"/>
    </xf>
    <xf numFmtId="0" fontId="4" fillId="0" borderId="54" xfId="0" applyFont="1" applyBorder="1" applyAlignment="1">
      <alignment horizontal="center" shrinkToFit="1"/>
    </xf>
    <xf numFmtId="0" fontId="4" fillId="0" borderId="68" xfId="0" applyFont="1" applyBorder="1" applyAlignment="1">
      <alignment horizontal="center" shrinkToFit="1"/>
    </xf>
    <xf numFmtId="0" fontId="5" fillId="0" borderId="26" xfId="0" applyFont="1" applyBorder="1" applyAlignment="1">
      <alignment horizontal="center" wrapText="1" shrinkToFit="1"/>
    </xf>
    <xf numFmtId="0" fontId="5" fillId="0" borderId="66" xfId="0" applyFont="1" applyBorder="1" applyAlignment="1">
      <alignment horizontal="center" wrapText="1" shrinkToFit="1"/>
    </xf>
    <xf numFmtId="0" fontId="4" fillId="0" borderId="20" xfId="0" applyFont="1" applyBorder="1" applyAlignment="1">
      <alignment horizontal="center" shrinkToFit="1"/>
    </xf>
    <xf numFmtId="0" fontId="5" fillId="0" borderId="54" xfId="0" applyFont="1" applyBorder="1" applyAlignment="1">
      <alignment horizontal="center" shrinkToFit="1"/>
    </xf>
    <xf numFmtId="0" fontId="4" fillId="0" borderId="65" xfId="0" applyFont="1" applyBorder="1" applyAlignment="1">
      <alignment horizontal="center" shrinkToFit="1"/>
    </xf>
    <xf numFmtId="0" fontId="5" fillId="0" borderId="68" xfId="0" applyFont="1" applyBorder="1" applyAlignment="1">
      <alignment horizontal="center" shrinkToFit="1"/>
    </xf>
    <xf numFmtId="0" fontId="22" fillId="0" borderId="55" xfId="0" applyFont="1" applyBorder="1" applyAlignment="1">
      <alignment horizontal="left" shrinkToFit="1"/>
    </xf>
    <xf numFmtId="0" fontId="11" fillId="0" borderId="27" xfId="0" applyFont="1" applyBorder="1" applyAlignment="1">
      <alignment shrinkToFit="1"/>
    </xf>
    <xf numFmtId="0" fontId="5" fillId="0" borderId="54" xfId="0" applyFont="1" applyBorder="1" applyAlignment="1">
      <alignment horizontal="center" wrapText="1" shrinkToFit="1"/>
    </xf>
    <xf numFmtId="0" fontId="5" fillId="0" borderId="68" xfId="0" applyFont="1" applyBorder="1" applyAlignment="1">
      <alignment horizontal="center" wrapText="1" shrinkToFit="1"/>
    </xf>
    <xf numFmtId="22" fontId="10" fillId="0" borderId="0" xfId="0" applyNumberFormat="1" applyFont="1" applyAlignment="1">
      <alignment horizontal="center" shrinkToFit="1"/>
    </xf>
    <xf numFmtId="0" fontId="27" fillId="10" borderId="0" xfId="0" applyFont="1" applyFill="1" applyAlignment="1">
      <alignment horizontal="left" vertical="center" shrinkToFit="1"/>
    </xf>
    <xf numFmtId="0" fontId="23" fillId="0" borderId="19" xfId="0" applyFont="1" applyBorder="1" applyAlignment="1">
      <alignment horizontal="center" shrinkToFit="1"/>
    </xf>
    <xf numFmtId="0" fontId="23" fillId="0" borderId="20" xfId="0" applyFont="1" applyBorder="1" applyAlignment="1">
      <alignment horizontal="center" shrinkToFit="1"/>
    </xf>
    <xf numFmtId="0" fontId="23" fillId="0" borderId="25" xfId="0" applyFont="1" applyBorder="1" applyAlignment="1">
      <alignment horizontal="center" shrinkToFit="1"/>
    </xf>
    <xf numFmtId="0" fontId="23" fillId="0" borderId="26" xfId="0" applyFont="1" applyBorder="1" applyAlignment="1">
      <alignment horizontal="center" shrinkToFit="1"/>
    </xf>
    <xf numFmtId="0" fontId="23" fillId="0" borderId="22" xfId="0" applyFont="1" applyBorder="1" applyAlignment="1">
      <alignment horizontal="center" shrinkToFit="1"/>
    </xf>
    <xf numFmtId="0" fontId="23" fillId="0" borderId="23" xfId="0" applyFont="1" applyBorder="1" applyAlignment="1">
      <alignment horizontal="center" shrinkToFit="1"/>
    </xf>
    <xf numFmtId="0" fontId="10" fillId="0" borderId="25" xfId="0" applyFont="1" applyBorder="1" applyAlignment="1">
      <alignment horizontal="center" shrinkToFit="1"/>
    </xf>
    <xf numFmtId="0" fontId="10" fillId="0" borderId="26" xfId="0" applyFont="1" applyBorder="1" applyAlignment="1">
      <alignment horizontal="center" shrinkToFit="1"/>
    </xf>
    <xf numFmtId="0" fontId="10" fillId="0" borderId="53" xfId="0" applyFont="1" applyBorder="1" applyAlignment="1">
      <alignment horizontal="center" shrinkToFit="1"/>
    </xf>
    <xf numFmtId="0" fontId="10" fillId="0" borderId="54" xfId="0" applyFont="1" applyBorder="1" applyAlignment="1">
      <alignment horizontal="center" shrinkToFit="1"/>
    </xf>
    <xf numFmtId="0" fontId="10" fillId="0" borderId="19" xfId="0" applyFont="1" applyBorder="1" applyAlignment="1">
      <alignment horizontal="center" shrinkToFit="1"/>
    </xf>
    <xf numFmtId="0" fontId="10" fillId="0" borderId="20" xfId="0" applyFont="1" applyBorder="1" applyAlignment="1">
      <alignment horizontal="center" shrinkToFit="1"/>
    </xf>
    <xf numFmtId="0" fontId="29" fillId="0" borderId="26" xfId="0" applyFont="1" applyBorder="1" applyAlignment="1">
      <alignment horizontal="center" shrinkToFit="1"/>
    </xf>
    <xf numFmtId="0" fontId="23" fillId="0" borderId="53" xfId="0" applyFont="1" applyBorder="1" applyAlignment="1">
      <alignment horizontal="center" shrinkToFit="1"/>
    </xf>
    <xf numFmtId="0" fontId="23" fillId="0" borderId="54" xfId="0" applyFont="1" applyBorder="1" applyAlignment="1">
      <alignment horizontal="center" shrinkToFit="1"/>
    </xf>
    <xf numFmtId="0" fontId="30" fillId="0" borderId="20" xfId="0" applyFont="1" applyBorder="1" applyAlignment="1">
      <alignment horizontal="center" shrinkToFit="1"/>
    </xf>
    <xf numFmtId="0" fontId="29" fillId="0" borderId="20" xfId="0" applyFont="1" applyBorder="1" applyAlignment="1">
      <alignment horizontal="center" shrinkToFit="1"/>
    </xf>
    <xf numFmtId="0" fontId="30" fillId="0" borderId="23" xfId="0" applyFont="1" applyBorder="1" applyAlignment="1">
      <alignment horizontal="center" shrinkToFit="1"/>
    </xf>
    <xf numFmtId="0" fontId="22" fillId="0" borderId="21" xfId="0" applyFont="1" applyBorder="1" applyAlignment="1">
      <alignment horizontal="left" shrinkToFit="1"/>
    </xf>
    <xf numFmtId="0" fontId="22" fillId="0" borderId="24" xfId="0" applyFont="1" applyBorder="1" applyAlignment="1">
      <alignment shrinkToFit="1"/>
    </xf>
    <xf numFmtId="0" fontId="22" fillId="0" borderId="24" xfId="0" applyFont="1" applyBorder="1" applyAlignment="1">
      <alignment horizontal="left" shrinkToFit="1"/>
    </xf>
    <xf numFmtId="0" fontId="22" fillId="0" borderId="21" xfId="0" applyFont="1" applyBorder="1" applyAlignment="1">
      <alignment shrinkToFit="1"/>
    </xf>
    <xf numFmtId="0" fontId="22" fillId="0" borderId="27" xfId="0" applyFont="1" applyBorder="1" applyAlignment="1">
      <alignment shrinkToFit="1"/>
    </xf>
    <xf numFmtId="176" fontId="24" fillId="0" borderId="73" xfId="0" applyNumberFormat="1" applyFont="1" applyBorder="1" applyAlignment="1">
      <alignment horizontal="center" shrinkToFit="1"/>
    </xf>
    <xf numFmtId="176" fontId="24" fillId="0" borderId="74" xfId="0" applyNumberFormat="1" applyFont="1" applyBorder="1" applyAlignment="1">
      <alignment horizontal="center" shrinkToFit="1"/>
    </xf>
    <xf numFmtId="0" fontId="4" fillId="0" borderId="40" xfId="0" applyFont="1" applyBorder="1" applyAlignment="1">
      <alignment horizontal="center" vertical="center" shrinkToFit="1"/>
    </xf>
    <xf numFmtId="0" fontId="31" fillId="0" borderId="0" xfId="0" applyFont="1" applyAlignment="1">
      <alignment shrinkToFit="1"/>
    </xf>
    <xf numFmtId="0" fontId="22" fillId="0" borderId="40" xfId="0" applyFont="1" applyBorder="1" applyAlignment="1">
      <alignment horizontal="left" shrinkToFit="1"/>
    </xf>
    <xf numFmtId="0" fontId="10" fillId="0" borderId="82" xfId="0" applyFont="1" applyBorder="1" applyAlignment="1">
      <alignment horizontal="center" shrinkToFit="1"/>
    </xf>
    <xf numFmtId="0" fontId="10" fillId="0" borderId="83" xfId="0" applyFont="1" applyBorder="1" applyAlignment="1">
      <alignment horizontal="center" shrinkToFit="1"/>
    </xf>
    <xf numFmtId="0" fontId="10" fillId="0" borderId="84" xfId="0" applyFont="1" applyBorder="1" applyAlignment="1">
      <alignment horizontal="center" shrinkToFit="1"/>
    </xf>
    <xf numFmtId="0" fontId="10" fillId="0" borderId="85" xfId="0" applyFont="1" applyBorder="1" applyAlignment="1">
      <alignment horizontal="center" shrinkToFit="1"/>
    </xf>
    <xf numFmtId="0" fontId="10" fillId="0" borderId="34" xfId="0" applyFont="1" applyBorder="1" applyAlignment="1">
      <alignment vertical="center" textRotation="255" shrinkToFit="1"/>
    </xf>
    <xf numFmtId="0" fontId="10" fillId="0" borderId="46" xfId="0" applyFont="1" applyBorder="1" applyAlignment="1">
      <alignment vertical="center" textRotation="255" shrinkToFit="1"/>
    </xf>
    <xf numFmtId="0" fontId="24" fillId="0" borderId="86" xfId="0" applyFont="1" applyBorder="1" applyAlignment="1">
      <alignment horizontal="center" textRotation="255" shrinkToFit="1"/>
    </xf>
    <xf numFmtId="0" fontId="22" fillId="0" borderId="28" xfId="0" applyFont="1" applyBorder="1" applyAlignment="1">
      <alignment horizontal="left" shrinkToFit="1"/>
    </xf>
    <xf numFmtId="0" fontId="22" fillId="0" borderId="28" xfId="0" applyFont="1" applyBorder="1" applyAlignment="1">
      <alignment shrinkToFit="1"/>
    </xf>
    <xf numFmtId="0" fontId="11" fillId="0" borderId="24" xfId="0" applyFont="1" applyBorder="1" applyAlignment="1">
      <alignment shrinkToFit="1"/>
    </xf>
    <xf numFmtId="0" fontId="22" fillId="0" borderId="40" xfId="0" applyFont="1" applyBorder="1" applyAlignment="1">
      <alignment shrinkToFit="1"/>
    </xf>
    <xf numFmtId="0" fontId="6" fillId="0" borderId="0" xfId="0" applyFont="1" applyAlignment="1">
      <alignment shrinkToFit="1"/>
    </xf>
    <xf numFmtId="0" fontId="33" fillId="0" borderId="20" xfId="0" applyFont="1" applyBorder="1" applyAlignment="1">
      <alignment horizontal="center" shrinkToFit="1"/>
    </xf>
    <xf numFmtId="0" fontId="33" fillId="0" borderId="46" xfId="0" applyFont="1" applyBorder="1" applyAlignment="1">
      <alignment horizontal="center" shrinkToFit="1"/>
    </xf>
    <xf numFmtId="0" fontId="33" fillId="0" borderId="23" xfId="0" applyFont="1" applyBorder="1" applyAlignment="1">
      <alignment horizontal="center" shrinkToFit="1"/>
    </xf>
    <xf numFmtId="0" fontId="33" fillId="0" borderId="26" xfId="0" applyFont="1" applyBorder="1" applyAlignment="1">
      <alignment horizontal="center" shrinkToFit="1"/>
    </xf>
    <xf numFmtId="0" fontId="33" fillId="0" borderId="54" xfId="0" applyFont="1" applyBorder="1" applyAlignment="1">
      <alignment horizontal="center" shrinkToFit="1"/>
    </xf>
    <xf numFmtId="176" fontId="24" fillId="0" borderId="87" xfId="0" applyNumberFormat="1" applyFont="1" applyBorder="1" applyAlignment="1">
      <alignment horizontal="center" shrinkToFit="1"/>
    </xf>
    <xf numFmtId="0" fontId="11" fillId="0" borderId="21" xfId="0" applyFont="1" applyBorder="1" applyAlignment="1">
      <alignment horizontal="left" shrinkToFit="1"/>
    </xf>
    <xf numFmtId="0" fontId="11" fillId="0" borderId="40" xfId="0" applyFont="1" applyBorder="1" applyAlignment="1">
      <alignment horizontal="left" shrinkToFit="1"/>
    </xf>
    <xf numFmtId="0" fontId="10" fillId="0" borderId="22" xfId="0" applyFont="1" applyBorder="1" applyAlignment="1">
      <alignment horizontal="center" shrinkToFit="1"/>
    </xf>
    <xf numFmtId="0" fontId="10" fillId="0" borderId="23" xfId="0" applyFont="1" applyBorder="1" applyAlignment="1">
      <alignment horizontal="center" shrinkToFit="1"/>
    </xf>
    <xf numFmtId="0" fontId="11" fillId="0" borderId="24" xfId="0" applyFont="1" applyBorder="1" applyAlignment="1">
      <alignment horizontal="left" shrinkToFit="1"/>
    </xf>
    <xf numFmtId="0" fontId="33" fillId="0" borderId="20" xfId="0" applyFont="1" applyBorder="1" applyAlignment="1">
      <alignment horizontal="center"/>
    </xf>
    <xf numFmtId="0" fontId="29" fillId="0" borderId="23" xfId="0" applyFont="1" applyBorder="1" applyAlignment="1">
      <alignment horizontal="center" shrinkToFit="1"/>
    </xf>
    <xf numFmtId="0" fontId="11" fillId="0" borderId="40" xfId="0" applyFont="1" applyBorder="1" applyAlignment="1">
      <alignment shrinkToFit="1"/>
    </xf>
    <xf numFmtId="0" fontId="30" fillId="0" borderId="26" xfId="0" applyFont="1" applyBorder="1" applyAlignment="1">
      <alignment horizontal="center" shrinkToFit="1"/>
    </xf>
    <xf numFmtId="0" fontId="11" fillId="0" borderId="21" xfId="0" applyFont="1" applyBorder="1" applyAlignment="1">
      <alignment shrinkToFit="1"/>
    </xf>
    <xf numFmtId="0" fontId="4" fillId="0" borderId="88" xfId="0" applyFont="1" applyBorder="1" applyAlignment="1">
      <alignment horizontal="center" vertical="center" shrinkToFit="1"/>
    </xf>
    <xf numFmtId="0" fontId="4" fillId="0" borderId="95" xfId="0" applyFont="1" applyBorder="1" applyAlignment="1">
      <alignment horizontal="center" vertical="center" shrinkToFit="1"/>
    </xf>
    <xf numFmtId="0" fontId="24" fillId="0" borderId="96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left" shrinkToFit="1"/>
    </xf>
    <xf numFmtId="176" fontId="33" fillId="0" borderId="20" xfId="0" applyNumberFormat="1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22" fillId="0" borderId="0" xfId="0" applyFont="1" applyAlignment="1">
      <alignment horizontal="left" shrinkToFit="1"/>
    </xf>
    <xf numFmtId="0" fontId="22" fillId="0" borderId="0" xfId="0" applyFont="1" applyAlignment="1">
      <alignment shrinkToFit="1"/>
    </xf>
    <xf numFmtId="0" fontId="33" fillId="0" borderId="26" xfId="0" applyFont="1" applyBorder="1" applyAlignment="1">
      <alignment horizontal="center"/>
    </xf>
    <xf numFmtId="176" fontId="33" fillId="0" borderId="20" xfId="0" applyNumberFormat="1" applyFont="1" applyBorder="1" applyAlignment="1">
      <alignment horizontal="center" shrinkToFit="1"/>
    </xf>
    <xf numFmtId="0" fontId="10" fillId="0" borderId="99" xfId="0" applyFont="1" applyBorder="1" applyAlignment="1">
      <alignment horizontal="center" shrinkToFit="1"/>
    </xf>
    <xf numFmtId="0" fontId="10" fillId="0" borderId="100" xfId="0" applyFont="1" applyBorder="1" applyAlignment="1">
      <alignment horizontal="center" shrinkToFit="1"/>
    </xf>
    <xf numFmtId="176" fontId="24" fillId="0" borderId="52" xfId="0" applyNumberFormat="1" applyFont="1" applyBorder="1" applyAlignment="1">
      <alignment horizontal="center" shrinkToFit="1"/>
    </xf>
    <xf numFmtId="176" fontId="24" fillId="0" borderId="101" xfId="0" applyNumberFormat="1" applyFont="1" applyBorder="1" applyAlignment="1">
      <alignment horizontal="center" shrinkToFit="1"/>
    </xf>
    <xf numFmtId="176" fontId="24" fillId="0" borderId="102" xfId="0" applyNumberFormat="1" applyFont="1" applyBorder="1" applyAlignment="1">
      <alignment horizontal="center" shrinkToFit="1"/>
    </xf>
    <xf numFmtId="22" fontId="28" fillId="0" borderId="97" xfId="0" applyNumberFormat="1" applyFont="1" applyBorder="1" applyAlignment="1">
      <alignment horizontal="center" shrinkToFit="1"/>
    </xf>
    <xf numFmtId="22" fontId="28" fillId="0" borderId="98" xfId="0" applyNumberFormat="1" applyFont="1" applyBorder="1" applyAlignment="1">
      <alignment horizontal="center" shrinkToFit="1"/>
    </xf>
    <xf numFmtId="0" fontId="10" fillId="0" borderId="60" xfId="0" applyFont="1" applyBorder="1" applyAlignment="1">
      <alignment horizontal="center" vertical="center" textRotation="255" shrinkToFit="1"/>
    </xf>
    <xf numFmtId="0" fontId="10" fillId="0" borderId="43" xfId="0" applyFont="1" applyBorder="1" applyAlignment="1">
      <alignment horizontal="center" vertical="center" textRotation="255" shrinkToFit="1"/>
    </xf>
    <xf numFmtId="0" fontId="10" fillId="0" borderId="61" xfId="0" applyFont="1" applyBorder="1" applyAlignment="1">
      <alignment horizontal="center" vertical="center" textRotation="255" shrinkToFit="1"/>
    </xf>
    <xf numFmtId="0" fontId="10" fillId="0" borderId="47" xfId="0" applyFont="1" applyBorder="1" applyAlignment="1">
      <alignment horizontal="center" vertical="center" textRotation="255" shrinkToFit="1"/>
    </xf>
    <xf numFmtId="22" fontId="28" fillId="0" borderId="92" xfId="0" applyNumberFormat="1" applyFont="1" applyBorder="1" applyAlignment="1">
      <alignment horizontal="center" shrinkToFit="1"/>
    </xf>
    <xf numFmtId="22" fontId="28" fillId="0" borderId="93" xfId="0" applyNumberFormat="1" applyFont="1" applyBorder="1" applyAlignment="1">
      <alignment horizontal="center" shrinkToFit="1"/>
    </xf>
    <xf numFmtId="22" fontId="28" fillId="0" borderId="94" xfId="0" applyNumberFormat="1" applyFont="1" applyBorder="1" applyAlignment="1">
      <alignment horizontal="center" shrinkToFit="1"/>
    </xf>
    <xf numFmtId="0" fontId="20" fillId="0" borderId="0" xfId="0" applyFont="1" applyAlignment="1">
      <alignment horizontal="center" shrinkToFit="1"/>
    </xf>
    <xf numFmtId="0" fontId="34" fillId="0" borderId="92" xfId="0" applyFont="1" applyBorder="1" applyAlignment="1">
      <alignment horizontal="center" shrinkToFit="1"/>
    </xf>
    <xf numFmtId="0" fontId="34" fillId="0" borderId="93" xfId="0" applyFont="1" applyBorder="1" applyAlignment="1">
      <alignment horizontal="center" shrinkToFit="1"/>
    </xf>
    <xf numFmtId="0" fontId="34" fillId="0" borderId="94" xfId="0" applyFont="1" applyBorder="1" applyAlignment="1">
      <alignment horizontal="center" shrinkToFit="1"/>
    </xf>
    <xf numFmtId="0" fontId="23" fillId="9" borderId="38" xfId="0" applyFont="1" applyFill="1" applyBorder="1" applyAlignment="1">
      <alignment horizontal="center" vertical="center" shrinkToFit="1"/>
    </xf>
    <xf numFmtId="0" fontId="23" fillId="9" borderId="70" xfId="0" applyFont="1" applyFill="1" applyBorder="1" applyAlignment="1">
      <alignment horizontal="center" vertical="center" shrinkToFit="1"/>
    </xf>
    <xf numFmtId="0" fontId="23" fillId="9" borderId="39" xfId="0" applyFont="1" applyFill="1" applyBorder="1" applyAlignment="1">
      <alignment horizontal="center" vertical="center" shrinkToFit="1"/>
    </xf>
    <xf numFmtId="31" fontId="27" fillId="10" borderId="0" xfId="0" applyNumberFormat="1" applyFont="1" applyFill="1" applyAlignment="1">
      <alignment horizontal="center" vertical="center" shrinkToFit="1"/>
    </xf>
    <xf numFmtId="22" fontId="10" fillId="0" borderId="0" xfId="0" applyNumberFormat="1" applyFont="1" applyAlignment="1">
      <alignment horizontal="center" shrinkToFit="1"/>
    </xf>
    <xf numFmtId="0" fontId="35" fillId="9" borderId="69" xfId="0" applyFont="1" applyFill="1" applyBorder="1" applyAlignment="1">
      <alignment horizontal="center" vertical="center" shrinkToFit="1"/>
    </xf>
    <xf numFmtId="0" fontId="35" fillId="9" borderId="51" xfId="0" applyFont="1" applyFill="1" applyBorder="1" applyAlignment="1">
      <alignment horizontal="center" vertical="center" shrinkToFit="1"/>
    </xf>
    <xf numFmtId="0" fontId="35" fillId="9" borderId="56" xfId="0" applyFont="1" applyFill="1" applyBorder="1" applyAlignment="1">
      <alignment horizontal="center" vertical="center" shrinkToFit="1"/>
    </xf>
    <xf numFmtId="0" fontId="19" fillId="0" borderId="89" xfId="0" applyFont="1" applyBorder="1" applyAlignment="1">
      <alignment horizontal="center" vertical="center" textRotation="255" shrinkToFit="1"/>
    </xf>
    <xf numFmtId="0" fontId="19" fillId="0" borderId="90" xfId="0" applyFont="1" applyBorder="1" applyAlignment="1">
      <alignment horizontal="center" vertical="center" textRotation="255" shrinkToFit="1"/>
    </xf>
    <xf numFmtId="0" fontId="19" fillId="0" borderId="91" xfId="0" applyFont="1" applyBorder="1" applyAlignment="1">
      <alignment horizontal="center" vertical="center" textRotation="255" shrinkToFit="1"/>
    </xf>
    <xf numFmtId="0" fontId="10" fillId="0" borderId="46" xfId="0" applyFont="1" applyBorder="1" applyAlignment="1">
      <alignment horizontal="center" vertical="center" textRotation="255" shrinkToFit="1"/>
    </xf>
    <xf numFmtId="0" fontId="10" fillId="0" borderId="62" xfId="0" applyFont="1" applyBorder="1" applyAlignment="1">
      <alignment horizontal="center" vertical="center" textRotation="255" shrinkToFit="1"/>
    </xf>
    <xf numFmtId="0" fontId="10" fillId="0" borderId="63" xfId="0" applyFont="1" applyBorder="1" applyAlignment="1">
      <alignment horizontal="center" vertical="center" textRotation="255" shrinkToFit="1"/>
    </xf>
    <xf numFmtId="0" fontId="10" fillId="0" borderId="64" xfId="0" applyFont="1" applyBorder="1" applyAlignment="1">
      <alignment horizontal="center" vertical="center" textRotation="255" shrinkToFit="1"/>
    </xf>
    <xf numFmtId="0" fontId="10" fillId="0" borderId="81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10" fillId="0" borderId="50" xfId="0" applyFont="1" applyBorder="1" applyAlignment="1">
      <alignment horizont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29" xfId="0" applyFont="1" applyFill="1" applyBorder="1" applyAlignment="1">
      <alignment horizontal="center" vertical="center" shrinkToFit="1"/>
    </xf>
    <xf numFmtId="0" fontId="19" fillId="7" borderId="31" xfId="0" applyFont="1" applyFill="1" applyBorder="1" applyAlignment="1">
      <alignment horizontal="center" vertical="center" shrinkToFit="1"/>
    </xf>
    <xf numFmtId="0" fontId="24" fillId="0" borderId="3" xfId="0" applyFont="1" applyBorder="1" applyAlignment="1">
      <alignment horizontal="center" shrinkToFit="1"/>
    </xf>
    <xf numFmtId="0" fontId="24" fillId="0" borderId="4" xfId="0" applyFont="1" applyBorder="1" applyAlignment="1">
      <alignment horizontal="center" shrinkToFit="1"/>
    </xf>
    <xf numFmtId="0" fontId="21" fillId="3" borderId="37" xfId="0" applyFont="1" applyFill="1" applyBorder="1" applyAlignment="1">
      <alignment horizontal="center" vertical="center" shrinkToFit="1"/>
    </xf>
    <xf numFmtId="0" fontId="21" fillId="3" borderId="31" xfId="0" applyFont="1" applyFill="1" applyBorder="1" applyAlignment="1">
      <alignment horizontal="center" vertical="center" shrinkToFit="1"/>
    </xf>
    <xf numFmtId="0" fontId="19" fillId="4" borderId="37" xfId="0" applyFont="1" applyFill="1" applyBorder="1" applyAlignment="1">
      <alignment horizontal="center" vertical="center" shrinkToFit="1"/>
    </xf>
    <xf numFmtId="0" fontId="19" fillId="4" borderId="29" xfId="0" applyFont="1" applyFill="1" applyBorder="1" applyAlignment="1">
      <alignment horizontal="center" vertical="center" shrinkToFit="1"/>
    </xf>
    <xf numFmtId="0" fontId="19" fillId="4" borderId="31" xfId="0" applyFont="1" applyFill="1" applyBorder="1" applyAlignment="1">
      <alignment horizontal="center" vertical="center" shrinkToFit="1"/>
    </xf>
    <xf numFmtId="0" fontId="21" fillId="2" borderId="37" xfId="0" applyFont="1" applyFill="1" applyBorder="1" applyAlignment="1">
      <alignment horizontal="center" vertical="center" shrinkToFit="1"/>
    </xf>
    <xf numFmtId="0" fontId="21" fillId="2" borderId="29" xfId="0" applyFont="1" applyFill="1" applyBorder="1" applyAlignment="1">
      <alignment horizontal="center" vertical="center" shrinkToFit="1"/>
    </xf>
    <xf numFmtId="0" fontId="21" fillId="2" borderId="31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31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29" xfId="0" applyFont="1" applyFill="1" applyBorder="1" applyAlignment="1">
      <alignment horizontal="center" vertical="center" shrinkToFit="1"/>
    </xf>
    <xf numFmtId="0" fontId="19" fillId="6" borderId="31" xfId="0" applyFont="1" applyFill="1" applyBorder="1" applyAlignment="1">
      <alignment horizontal="center" vertical="center" shrinkToFit="1"/>
    </xf>
    <xf numFmtId="0" fontId="0" fillId="0" borderId="7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78" xfId="0" applyBorder="1" applyAlignment="1">
      <alignment horizontal="center"/>
    </xf>
    <xf numFmtId="20" fontId="9" fillId="0" borderId="79" xfId="0" applyNumberFormat="1" applyFont="1" applyBorder="1" applyAlignment="1">
      <alignment horizontal="center" shrinkToFit="1"/>
    </xf>
    <xf numFmtId="20" fontId="9" fillId="0" borderId="35" xfId="0" applyNumberFormat="1" applyFont="1" applyBorder="1" applyAlignment="1">
      <alignment horizontal="center" shrinkToFit="1"/>
    </xf>
    <xf numFmtId="20" fontId="9" fillId="0" borderId="36" xfId="0" applyNumberFormat="1" applyFont="1" applyBorder="1" applyAlignment="1">
      <alignment horizontal="center" shrinkToFit="1"/>
    </xf>
    <xf numFmtId="0" fontId="32" fillId="0" borderId="80" xfId="0" applyFont="1" applyBorder="1" applyAlignment="1">
      <alignment horizontal="center" shrinkToFit="1"/>
    </xf>
    <xf numFmtId="0" fontId="32" fillId="0" borderId="17" xfId="0" applyFont="1" applyBorder="1" applyAlignment="1">
      <alignment horizontal="center" shrinkToFit="1"/>
    </xf>
    <xf numFmtId="0" fontId="32" fillId="0" borderId="48" xfId="0" applyFont="1" applyBorder="1" applyAlignment="1">
      <alignment horizontal="center" shrinkToFit="1"/>
    </xf>
    <xf numFmtId="20" fontId="11" fillId="0" borderId="79" xfId="0" applyNumberFormat="1" applyFont="1" applyBorder="1" applyAlignment="1">
      <alignment horizontal="center" shrinkToFit="1"/>
    </xf>
    <xf numFmtId="20" fontId="11" fillId="0" borderId="35" xfId="0" applyNumberFormat="1" applyFont="1" applyBorder="1" applyAlignment="1">
      <alignment horizontal="center" shrinkToFit="1"/>
    </xf>
    <xf numFmtId="20" fontId="11" fillId="0" borderId="36" xfId="0" applyNumberFormat="1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5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</cellXfs>
  <cellStyles count="1">
    <cellStyle name="標準" xfId="0" builtinId="0"/>
  </cellStyles>
  <dxfs count="37">
    <dxf>
      <font>
        <b val="0"/>
        <i val="0"/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 val="0"/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 val="0"/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</dxfs>
  <tableStyles count="0" defaultTableStyle="TableStyleMedium2" defaultPivotStyle="PivotStyleLight16"/>
  <colors>
    <mruColors>
      <color rgb="FFF7D3F8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6EE5-49CF-414D-AF00-1C6371DE5479}">
  <sheetPr>
    <tabColor rgb="FFFFC000"/>
    <pageSetUpPr fitToPage="1"/>
  </sheetPr>
  <dimension ref="A1:U26"/>
  <sheetViews>
    <sheetView workbookViewId="0"/>
  </sheetViews>
  <sheetFormatPr defaultRowHeight="18.75"/>
  <cols>
    <col min="1" max="1" width="4.375" style="3" customWidth="1"/>
    <col min="2" max="2" width="4" style="17" customWidth="1"/>
    <col min="3" max="4" width="4.875" style="25" customWidth="1"/>
    <col min="5" max="5" width="23.5" style="3" customWidth="1"/>
    <col min="6" max="6" width="4" style="3" customWidth="1"/>
    <col min="7" max="8" width="4.875" style="9" customWidth="1"/>
    <col min="9" max="9" width="23.5" style="3" customWidth="1"/>
    <col min="10" max="10" width="4" style="3" customWidth="1"/>
    <col min="11" max="12" width="4.875" style="9" customWidth="1"/>
    <col min="13" max="13" width="23.5" style="3" customWidth="1"/>
    <col min="14" max="14" width="4" style="9" customWidth="1"/>
    <col min="15" max="16" width="4.875" style="9" customWidth="1"/>
    <col min="17" max="17" width="23.5" style="3" customWidth="1"/>
    <col min="18" max="18" width="4" style="9" customWidth="1"/>
    <col min="19" max="20" width="4.875" style="9" customWidth="1"/>
    <col min="21" max="21" width="23.5" style="3" customWidth="1"/>
    <col min="22" max="16384" width="9" style="3"/>
  </cols>
  <sheetData>
    <row r="1" spans="1:21" ht="36.75" customHeight="1" thickBot="1">
      <c r="A1" s="42"/>
      <c r="B1" s="3"/>
      <c r="D1" s="9"/>
    </row>
    <row r="2" spans="1:21" s="21" customFormat="1" ht="36.75" customHeight="1" thickBot="1">
      <c r="B2" s="20"/>
      <c r="C2" s="20"/>
      <c r="D2" s="20"/>
      <c r="E2" s="26"/>
      <c r="F2" s="27"/>
      <c r="G2" s="27"/>
      <c r="H2" s="27"/>
      <c r="I2" s="28"/>
      <c r="J2" s="28"/>
      <c r="K2" s="28"/>
      <c r="L2" s="28"/>
      <c r="M2" s="28"/>
      <c r="N2" s="28"/>
      <c r="O2" s="28"/>
      <c r="P2" s="28"/>
      <c r="Q2" s="43">
        <v>45648</v>
      </c>
      <c r="R2" s="28"/>
      <c r="S2" s="28"/>
      <c r="T2" s="28"/>
      <c r="U2" s="43" t="s">
        <v>103</v>
      </c>
    </row>
    <row r="3" spans="1:21" s="23" customFormat="1" ht="24.75" customHeight="1" thickBot="1">
      <c r="A3" s="22"/>
      <c r="B3" s="243" t="s">
        <v>15</v>
      </c>
      <c r="C3" s="241"/>
      <c r="D3" s="241"/>
      <c r="E3" s="242"/>
      <c r="F3" s="243" t="s">
        <v>16</v>
      </c>
      <c r="G3" s="241"/>
      <c r="H3" s="241"/>
      <c r="I3" s="242"/>
      <c r="J3" s="243" t="s">
        <v>17</v>
      </c>
      <c r="K3" s="241"/>
      <c r="L3" s="241"/>
      <c r="M3" s="242"/>
      <c r="N3" s="243" t="s">
        <v>53</v>
      </c>
      <c r="O3" s="241"/>
      <c r="P3" s="241"/>
      <c r="Q3" s="241"/>
      <c r="R3" s="243" t="s">
        <v>18</v>
      </c>
      <c r="S3" s="241"/>
      <c r="T3" s="241"/>
      <c r="U3" s="242"/>
    </row>
    <row r="4" spans="1:21" s="23" customFormat="1" ht="24.75" customHeight="1" thickBot="1">
      <c r="A4" s="22"/>
      <c r="B4" s="240" t="s">
        <v>19</v>
      </c>
      <c r="C4" s="241"/>
      <c r="D4" s="241"/>
      <c r="E4" s="242"/>
      <c r="F4" s="240" t="s">
        <v>40</v>
      </c>
      <c r="G4" s="241"/>
      <c r="H4" s="241"/>
      <c r="I4" s="242"/>
      <c r="J4" s="240" t="s">
        <v>55</v>
      </c>
      <c r="K4" s="241"/>
      <c r="L4" s="241"/>
      <c r="M4" s="242"/>
      <c r="N4" s="240" t="s">
        <v>54</v>
      </c>
      <c r="O4" s="241"/>
      <c r="P4" s="241"/>
      <c r="Q4" s="241"/>
      <c r="R4" s="240" t="s">
        <v>102</v>
      </c>
      <c r="S4" s="241"/>
      <c r="T4" s="241"/>
      <c r="U4" s="242"/>
    </row>
    <row r="5" spans="1:21" s="18" customFormat="1" ht="24.75" customHeight="1" thickBot="1">
      <c r="B5" s="14" t="s">
        <v>1</v>
      </c>
      <c r="C5" s="24" t="s">
        <v>6</v>
      </c>
      <c r="D5" s="44" t="s">
        <v>104</v>
      </c>
      <c r="E5" s="12" t="s">
        <v>2</v>
      </c>
      <c r="F5" s="14" t="s">
        <v>1</v>
      </c>
      <c r="G5" s="24" t="s">
        <v>6</v>
      </c>
      <c r="H5" s="44" t="s">
        <v>104</v>
      </c>
      <c r="I5" s="12" t="s">
        <v>3</v>
      </c>
      <c r="J5" s="14" t="s">
        <v>1</v>
      </c>
      <c r="K5" s="24" t="s">
        <v>6</v>
      </c>
      <c r="L5" s="44" t="s">
        <v>104</v>
      </c>
      <c r="M5" s="12" t="s">
        <v>4</v>
      </c>
      <c r="N5" s="13" t="s">
        <v>1</v>
      </c>
      <c r="O5" s="24" t="s">
        <v>6</v>
      </c>
      <c r="P5" s="44" t="s">
        <v>104</v>
      </c>
      <c r="Q5" s="13" t="s">
        <v>0</v>
      </c>
      <c r="R5" s="14" t="s">
        <v>1</v>
      </c>
      <c r="S5" s="24" t="s">
        <v>6</v>
      </c>
      <c r="T5" s="44" t="s">
        <v>104</v>
      </c>
      <c r="U5" s="12" t="s">
        <v>5</v>
      </c>
    </row>
    <row r="6" spans="1:21" s="1" customFormat="1" ht="27.75" customHeight="1">
      <c r="B6" s="19"/>
      <c r="C6" s="48"/>
      <c r="D6" s="45">
        <v>1</v>
      </c>
      <c r="E6" s="38" t="s">
        <v>98</v>
      </c>
      <c r="F6" s="19"/>
      <c r="G6" s="48"/>
      <c r="H6" s="45">
        <v>1</v>
      </c>
      <c r="I6" s="38" t="s">
        <v>29</v>
      </c>
      <c r="J6" s="19"/>
      <c r="K6" s="48"/>
      <c r="L6" s="45">
        <v>1</v>
      </c>
      <c r="M6" s="38" t="s">
        <v>52</v>
      </c>
      <c r="N6" s="4"/>
      <c r="O6" s="48"/>
      <c r="P6" s="45">
        <v>1</v>
      </c>
      <c r="Q6" s="34" t="s">
        <v>85</v>
      </c>
      <c r="R6" s="30">
        <v>1</v>
      </c>
      <c r="S6" s="48"/>
      <c r="T6" s="45">
        <v>1</v>
      </c>
      <c r="U6" s="31" t="s">
        <v>66</v>
      </c>
    </row>
    <row r="7" spans="1:21" s="1" customFormat="1" ht="27.75" customHeight="1">
      <c r="B7" s="10"/>
      <c r="C7" s="49"/>
      <c r="D7" s="46">
        <v>2</v>
      </c>
      <c r="E7" s="39" t="s">
        <v>20</v>
      </c>
      <c r="F7" s="10"/>
      <c r="G7" s="49"/>
      <c r="H7" s="46">
        <v>2</v>
      </c>
      <c r="I7" s="39" t="s">
        <v>95</v>
      </c>
      <c r="J7" s="10"/>
      <c r="K7" s="49"/>
      <c r="L7" s="46">
        <v>2</v>
      </c>
      <c r="M7" s="39" t="s">
        <v>91</v>
      </c>
      <c r="N7" s="5"/>
      <c r="O7" s="49"/>
      <c r="P7" s="46">
        <v>2</v>
      </c>
      <c r="Q7" s="35" t="s">
        <v>56</v>
      </c>
      <c r="R7" s="29">
        <v>2</v>
      </c>
      <c r="S7" s="49"/>
      <c r="T7" s="46">
        <v>2</v>
      </c>
      <c r="U7" s="32" t="s">
        <v>80</v>
      </c>
    </row>
    <row r="8" spans="1:21" s="1" customFormat="1" ht="27.75" customHeight="1">
      <c r="B8" s="10"/>
      <c r="C8" s="50"/>
      <c r="D8" s="46">
        <v>3</v>
      </c>
      <c r="E8" s="39" t="s">
        <v>77</v>
      </c>
      <c r="F8" s="10"/>
      <c r="G8" s="50"/>
      <c r="H8" s="46">
        <v>3</v>
      </c>
      <c r="I8" s="39" t="s">
        <v>30</v>
      </c>
      <c r="J8" s="10"/>
      <c r="K8" s="50"/>
      <c r="L8" s="46">
        <v>3</v>
      </c>
      <c r="M8" s="39" t="s">
        <v>92</v>
      </c>
      <c r="N8" s="5"/>
      <c r="O8" s="50"/>
      <c r="P8" s="46">
        <v>3</v>
      </c>
      <c r="Q8" s="36" t="s">
        <v>57</v>
      </c>
      <c r="R8" s="10">
        <v>3</v>
      </c>
      <c r="S8" s="50"/>
      <c r="T8" s="46">
        <v>3</v>
      </c>
      <c r="U8" s="32" t="s">
        <v>81</v>
      </c>
    </row>
    <row r="9" spans="1:21" s="1" customFormat="1" ht="27.75" customHeight="1">
      <c r="B9" s="10"/>
      <c r="C9" s="50"/>
      <c r="D9" s="46">
        <v>4</v>
      </c>
      <c r="E9" s="39" t="s">
        <v>99</v>
      </c>
      <c r="F9" s="10"/>
      <c r="G9" s="50"/>
      <c r="H9" s="46">
        <v>4</v>
      </c>
      <c r="I9" s="40" t="s">
        <v>31</v>
      </c>
      <c r="J9" s="10"/>
      <c r="K9" s="50"/>
      <c r="L9" s="46">
        <v>4</v>
      </c>
      <c r="M9" s="39" t="s">
        <v>51</v>
      </c>
      <c r="N9" s="5"/>
      <c r="O9" s="50"/>
      <c r="P9" s="46">
        <v>4</v>
      </c>
      <c r="Q9" s="35" t="s">
        <v>58</v>
      </c>
      <c r="R9" s="29">
        <v>4</v>
      </c>
      <c r="S9" s="50"/>
      <c r="T9" s="46">
        <v>4</v>
      </c>
      <c r="U9" s="32" t="s">
        <v>67</v>
      </c>
    </row>
    <row r="10" spans="1:21" s="1" customFormat="1" ht="27.75" customHeight="1">
      <c r="B10" s="10"/>
      <c r="C10" s="53"/>
      <c r="D10" s="46">
        <v>5</v>
      </c>
      <c r="E10" s="39" t="s">
        <v>100</v>
      </c>
      <c r="F10" s="10"/>
      <c r="G10" s="51"/>
      <c r="H10" s="46">
        <v>5</v>
      </c>
      <c r="I10" s="39" t="s">
        <v>32</v>
      </c>
      <c r="J10" s="10"/>
      <c r="K10" s="51"/>
      <c r="L10" s="46">
        <v>5</v>
      </c>
      <c r="M10" s="39" t="s">
        <v>93</v>
      </c>
      <c r="N10" s="5"/>
      <c r="O10" s="51"/>
      <c r="P10" s="46">
        <v>5</v>
      </c>
      <c r="Q10" s="36" t="s">
        <v>59</v>
      </c>
      <c r="R10" s="10">
        <v>5</v>
      </c>
      <c r="S10" s="51"/>
      <c r="T10" s="46">
        <v>5</v>
      </c>
      <c r="U10" s="32" t="s">
        <v>68</v>
      </c>
    </row>
    <row r="11" spans="1:21" s="1" customFormat="1" ht="27.75" customHeight="1">
      <c r="B11" s="10"/>
      <c r="C11" s="50"/>
      <c r="D11" s="46">
        <v>6</v>
      </c>
      <c r="E11" s="39" t="s">
        <v>78</v>
      </c>
      <c r="F11" s="10"/>
      <c r="G11" s="50"/>
      <c r="H11" s="46">
        <v>6</v>
      </c>
      <c r="I11" s="39" t="s">
        <v>33</v>
      </c>
      <c r="J11" s="10"/>
      <c r="K11" s="50"/>
      <c r="L11" s="46">
        <v>6</v>
      </c>
      <c r="M11" s="39" t="s">
        <v>41</v>
      </c>
      <c r="N11" s="5"/>
      <c r="O11" s="50"/>
      <c r="P11" s="46">
        <v>6</v>
      </c>
      <c r="Q11" s="35" t="s">
        <v>86</v>
      </c>
      <c r="R11" s="10">
        <v>6</v>
      </c>
      <c r="S11" s="50"/>
      <c r="T11" s="46">
        <v>6</v>
      </c>
      <c r="U11" s="32" t="s">
        <v>69</v>
      </c>
    </row>
    <row r="12" spans="1:21" s="1" customFormat="1" ht="27.75" customHeight="1">
      <c r="B12" s="10"/>
      <c r="C12" s="50"/>
      <c r="D12" s="46">
        <v>7</v>
      </c>
      <c r="E12" s="40" t="s">
        <v>79</v>
      </c>
      <c r="F12" s="10"/>
      <c r="G12" s="50"/>
      <c r="H12" s="46">
        <v>7</v>
      </c>
      <c r="I12" s="39" t="s">
        <v>34</v>
      </c>
      <c r="J12" s="10"/>
      <c r="K12" s="50"/>
      <c r="L12" s="46">
        <v>7</v>
      </c>
      <c r="M12" s="39" t="s">
        <v>42</v>
      </c>
      <c r="N12" s="5"/>
      <c r="O12" s="50"/>
      <c r="P12" s="46">
        <v>7</v>
      </c>
      <c r="Q12" s="35" t="s">
        <v>87</v>
      </c>
      <c r="R12" s="10">
        <v>7</v>
      </c>
      <c r="S12" s="50"/>
      <c r="T12" s="46">
        <v>7</v>
      </c>
      <c r="U12" s="32" t="s">
        <v>82</v>
      </c>
    </row>
    <row r="13" spans="1:21" s="1" customFormat="1" ht="27.75" customHeight="1">
      <c r="B13" s="10"/>
      <c r="C13" s="50"/>
      <c r="D13" s="46">
        <v>8</v>
      </c>
      <c r="E13" s="39" t="s">
        <v>21</v>
      </c>
      <c r="F13" s="10"/>
      <c r="G13" s="50"/>
      <c r="H13" s="46">
        <v>8</v>
      </c>
      <c r="I13" s="39" t="s">
        <v>35</v>
      </c>
      <c r="J13" s="10"/>
      <c r="K13" s="50"/>
      <c r="L13" s="46">
        <v>8</v>
      </c>
      <c r="M13" s="39" t="s">
        <v>43</v>
      </c>
      <c r="N13" s="5"/>
      <c r="O13" s="50"/>
      <c r="P13" s="46">
        <v>8</v>
      </c>
      <c r="Q13" s="35" t="s">
        <v>60</v>
      </c>
      <c r="R13" s="29">
        <v>8</v>
      </c>
      <c r="S13" s="50"/>
      <c r="T13" s="46">
        <v>8</v>
      </c>
      <c r="U13" s="32" t="s">
        <v>83</v>
      </c>
    </row>
    <row r="14" spans="1:21" s="1" customFormat="1" ht="27.75" customHeight="1">
      <c r="B14" s="10"/>
      <c r="C14" s="50"/>
      <c r="D14" s="46">
        <v>9</v>
      </c>
      <c r="E14" s="39" t="s">
        <v>22</v>
      </c>
      <c r="F14" s="10"/>
      <c r="G14" s="50"/>
      <c r="H14" s="46">
        <v>9</v>
      </c>
      <c r="I14" s="39" t="s">
        <v>36</v>
      </c>
      <c r="J14" s="10"/>
      <c r="K14" s="50"/>
      <c r="L14" s="46">
        <v>9</v>
      </c>
      <c r="M14" s="39" t="s">
        <v>44</v>
      </c>
      <c r="N14" s="5"/>
      <c r="O14" s="50"/>
      <c r="P14" s="46">
        <v>9</v>
      </c>
      <c r="Q14" s="35" t="s">
        <v>88</v>
      </c>
      <c r="R14" s="10">
        <v>9</v>
      </c>
      <c r="S14" s="50"/>
      <c r="T14" s="46">
        <v>9</v>
      </c>
      <c r="U14" s="32" t="s">
        <v>70</v>
      </c>
    </row>
    <row r="15" spans="1:21" s="1" customFormat="1" ht="27.75" customHeight="1">
      <c r="B15" s="10"/>
      <c r="C15" s="50"/>
      <c r="D15" s="46">
        <v>10</v>
      </c>
      <c r="E15" s="39" t="s">
        <v>101</v>
      </c>
      <c r="F15" s="10"/>
      <c r="G15" s="50"/>
      <c r="H15" s="46">
        <v>10</v>
      </c>
      <c r="I15" s="39" t="s">
        <v>37</v>
      </c>
      <c r="J15" s="10"/>
      <c r="K15" s="50"/>
      <c r="L15" s="46">
        <v>10</v>
      </c>
      <c r="M15" s="39" t="s">
        <v>45</v>
      </c>
      <c r="N15" s="5"/>
      <c r="O15" s="50"/>
      <c r="P15" s="46">
        <v>10</v>
      </c>
      <c r="Q15" s="35" t="s">
        <v>61</v>
      </c>
      <c r="R15" s="10">
        <v>10</v>
      </c>
      <c r="S15" s="50"/>
      <c r="T15" s="46">
        <v>10</v>
      </c>
      <c r="U15" s="32" t="s">
        <v>71</v>
      </c>
    </row>
    <row r="16" spans="1:21" s="1" customFormat="1" ht="27.75" customHeight="1">
      <c r="B16" s="10"/>
      <c r="C16" s="50"/>
      <c r="D16" s="46">
        <v>11</v>
      </c>
      <c r="E16" s="39" t="s">
        <v>23</v>
      </c>
      <c r="F16" s="10"/>
      <c r="G16" s="50"/>
      <c r="H16" s="46">
        <v>11</v>
      </c>
      <c r="I16" s="39" t="s">
        <v>96</v>
      </c>
      <c r="J16" s="10"/>
      <c r="K16" s="50"/>
      <c r="L16" s="46">
        <v>11</v>
      </c>
      <c r="M16" s="39" t="s">
        <v>46</v>
      </c>
      <c r="N16" s="5"/>
      <c r="O16" s="50"/>
      <c r="P16" s="46">
        <v>11</v>
      </c>
      <c r="Q16" s="35" t="s">
        <v>89</v>
      </c>
      <c r="R16" s="29">
        <v>11</v>
      </c>
      <c r="S16" s="50"/>
      <c r="T16" s="46">
        <v>11</v>
      </c>
      <c r="U16" s="32" t="s">
        <v>72</v>
      </c>
    </row>
    <row r="17" spans="2:21" s="1" customFormat="1" ht="27.75" customHeight="1">
      <c r="B17" s="10"/>
      <c r="C17" s="50"/>
      <c r="D17" s="46">
        <v>12</v>
      </c>
      <c r="E17" s="39" t="s">
        <v>24</v>
      </c>
      <c r="F17" s="10"/>
      <c r="G17" s="50"/>
      <c r="H17" s="46">
        <v>12</v>
      </c>
      <c r="I17" s="39" t="s">
        <v>38</v>
      </c>
      <c r="J17" s="10"/>
      <c r="K17" s="50"/>
      <c r="L17" s="46">
        <v>12</v>
      </c>
      <c r="M17" s="40" t="s">
        <v>47</v>
      </c>
      <c r="N17" s="5"/>
      <c r="O17" s="50"/>
      <c r="P17" s="46">
        <v>12</v>
      </c>
      <c r="Q17" s="35" t="s">
        <v>62</v>
      </c>
      <c r="R17" s="29">
        <v>12</v>
      </c>
      <c r="S17" s="50"/>
      <c r="T17" s="46">
        <v>12</v>
      </c>
      <c r="U17" s="32" t="s">
        <v>73</v>
      </c>
    </row>
    <row r="18" spans="2:21" s="1" customFormat="1" ht="27.75" customHeight="1">
      <c r="B18" s="10"/>
      <c r="C18" s="50"/>
      <c r="D18" s="46">
        <v>13</v>
      </c>
      <c r="E18" s="39" t="s">
        <v>27</v>
      </c>
      <c r="F18" s="10"/>
      <c r="G18" s="50"/>
      <c r="H18" s="46">
        <v>13</v>
      </c>
      <c r="I18" s="39" t="s">
        <v>39</v>
      </c>
      <c r="J18" s="10"/>
      <c r="K18" s="50"/>
      <c r="L18" s="46">
        <v>13</v>
      </c>
      <c r="M18" s="39" t="s">
        <v>48</v>
      </c>
      <c r="N18" s="5"/>
      <c r="O18" s="50"/>
      <c r="P18" s="46">
        <v>13</v>
      </c>
      <c r="Q18" s="35" t="s">
        <v>63</v>
      </c>
      <c r="R18" s="10">
        <v>13</v>
      </c>
      <c r="S18" s="50"/>
      <c r="T18" s="46">
        <v>13</v>
      </c>
      <c r="U18" s="32" t="s">
        <v>74</v>
      </c>
    </row>
    <row r="19" spans="2:21" s="1" customFormat="1" ht="27.75" customHeight="1">
      <c r="B19" s="10"/>
      <c r="C19" s="50"/>
      <c r="D19" s="46">
        <v>14</v>
      </c>
      <c r="E19" s="39" t="s">
        <v>26</v>
      </c>
      <c r="F19" s="10"/>
      <c r="G19" s="50"/>
      <c r="H19" s="46">
        <v>14</v>
      </c>
      <c r="I19" s="39" t="s">
        <v>97</v>
      </c>
      <c r="J19" s="10"/>
      <c r="K19" s="50"/>
      <c r="L19" s="46">
        <v>14</v>
      </c>
      <c r="M19" s="39" t="s">
        <v>94</v>
      </c>
      <c r="N19" s="5"/>
      <c r="O19" s="50"/>
      <c r="P19" s="46">
        <v>14</v>
      </c>
      <c r="Q19" s="36" t="s">
        <v>64</v>
      </c>
      <c r="R19" s="10">
        <v>14</v>
      </c>
      <c r="S19" s="50"/>
      <c r="T19" s="46">
        <v>14</v>
      </c>
      <c r="U19" s="32" t="s">
        <v>75</v>
      </c>
    </row>
    <row r="20" spans="2:21" s="1" customFormat="1" ht="27.75" customHeight="1">
      <c r="B20" s="10"/>
      <c r="C20" s="50"/>
      <c r="D20" s="46">
        <v>15</v>
      </c>
      <c r="E20" s="39" t="s">
        <v>25</v>
      </c>
      <c r="F20" s="10"/>
      <c r="G20" s="50"/>
      <c r="H20" s="46">
        <v>15</v>
      </c>
      <c r="I20" s="39"/>
      <c r="J20" s="10"/>
      <c r="K20" s="50"/>
      <c r="L20" s="46">
        <v>15</v>
      </c>
      <c r="M20" s="39" t="s">
        <v>49</v>
      </c>
      <c r="N20" s="5"/>
      <c r="O20" s="50"/>
      <c r="P20" s="46">
        <v>15</v>
      </c>
      <c r="Q20" s="35" t="s">
        <v>90</v>
      </c>
      <c r="R20" s="10">
        <v>15</v>
      </c>
      <c r="S20" s="50"/>
      <c r="T20" s="46">
        <v>15</v>
      </c>
      <c r="U20" s="32" t="s">
        <v>76</v>
      </c>
    </row>
    <row r="21" spans="2:21" s="1" customFormat="1" ht="27.75" customHeight="1">
      <c r="B21" s="10"/>
      <c r="C21" s="50"/>
      <c r="D21" s="46">
        <v>16</v>
      </c>
      <c r="E21" s="39" t="s">
        <v>28</v>
      </c>
      <c r="F21" s="10"/>
      <c r="G21" s="50"/>
      <c r="H21" s="46">
        <v>16</v>
      </c>
      <c r="I21" s="39"/>
      <c r="J21" s="10"/>
      <c r="K21" s="50"/>
      <c r="L21" s="46">
        <v>16</v>
      </c>
      <c r="M21" s="39" t="s">
        <v>50</v>
      </c>
      <c r="N21" s="5"/>
      <c r="O21" s="50"/>
      <c r="P21" s="46">
        <v>16</v>
      </c>
      <c r="Q21" s="35" t="s">
        <v>65</v>
      </c>
      <c r="R21" s="10">
        <v>16</v>
      </c>
      <c r="S21" s="50"/>
      <c r="T21" s="46">
        <v>16</v>
      </c>
      <c r="U21" s="32" t="s">
        <v>84</v>
      </c>
    </row>
    <row r="22" spans="2:21" s="1" customFormat="1" ht="27.75" customHeight="1">
      <c r="B22" s="10"/>
      <c r="C22" s="50"/>
      <c r="D22" s="46">
        <v>17</v>
      </c>
      <c r="E22" s="39"/>
      <c r="F22" s="10"/>
      <c r="G22" s="50"/>
      <c r="H22" s="46">
        <v>17</v>
      </c>
      <c r="I22" s="39"/>
      <c r="J22" s="10"/>
      <c r="K22" s="50"/>
      <c r="L22" s="46">
        <v>17</v>
      </c>
      <c r="M22" s="39"/>
      <c r="N22" s="5"/>
      <c r="O22" s="50"/>
      <c r="P22" s="46">
        <v>17</v>
      </c>
      <c r="Q22" s="35"/>
      <c r="R22" s="10">
        <v>17</v>
      </c>
      <c r="S22" s="50"/>
      <c r="T22" s="46">
        <v>17</v>
      </c>
      <c r="U22" s="32"/>
    </row>
    <row r="23" spans="2:21" s="1" customFormat="1" ht="27.75" customHeight="1" thickBot="1">
      <c r="B23" s="11"/>
      <c r="C23" s="52"/>
      <c r="D23" s="47">
        <v>18</v>
      </c>
      <c r="E23" s="41"/>
      <c r="F23" s="11"/>
      <c r="G23" s="52"/>
      <c r="H23" s="47">
        <v>18</v>
      </c>
      <c r="I23" s="41"/>
      <c r="J23" s="11"/>
      <c r="K23" s="52"/>
      <c r="L23" s="47">
        <v>18</v>
      </c>
      <c r="M23" s="41"/>
      <c r="N23" s="6"/>
      <c r="O23" s="52"/>
      <c r="P23" s="47">
        <v>18</v>
      </c>
      <c r="Q23" s="37"/>
      <c r="R23" s="11">
        <v>18</v>
      </c>
      <c r="S23" s="52"/>
      <c r="T23" s="47">
        <v>18</v>
      </c>
      <c r="U23" s="33"/>
    </row>
    <row r="24" spans="2:21" s="1" customFormat="1">
      <c r="B24" s="2"/>
      <c r="C24" s="7"/>
      <c r="D24" s="7"/>
      <c r="E24" s="2"/>
      <c r="F24" s="2"/>
      <c r="G24" s="7"/>
      <c r="H24" s="7"/>
      <c r="I24" s="2"/>
      <c r="J24" s="2"/>
      <c r="K24" s="7"/>
      <c r="L24" s="7"/>
      <c r="M24" s="2"/>
      <c r="N24" s="7"/>
      <c r="O24" s="7"/>
      <c r="P24" s="7"/>
      <c r="Q24" s="2"/>
      <c r="R24" s="7"/>
      <c r="S24" s="7"/>
      <c r="T24" s="7"/>
      <c r="U24" s="2"/>
    </row>
    <row r="25" spans="2:21" s="1" customFormat="1">
      <c r="B25" s="2"/>
      <c r="C25" s="7"/>
      <c r="D25" s="7"/>
      <c r="G25" s="8"/>
      <c r="H25" s="8"/>
      <c r="K25" s="8"/>
      <c r="L25" s="8"/>
      <c r="N25" s="8"/>
      <c r="O25" s="8"/>
      <c r="P25" s="8"/>
      <c r="R25" s="8"/>
      <c r="S25" s="8"/>
      <c r="T25" s="8"/>
    </row>
    <row r="26" spans="2:21" s="1" customFormat="1">
      <c r="B26" s="2"/>
      <c r="C26" s="7"/>
      <c r="D26" s="7"/>
      <c r="G26" s="8"/>
      <c r="H26" s="8"/>
      <c r="K26" s="8"/>
      <c r="L26" s="8"/>
      <c r="N26" s="8"/>
      <c r="O26" s="8"/>
      <c r="P26" s="8"/>
      <c r="R26" s="8"/>
      <c r="S26" s="8"/>
      <c r="T26" s="8"/>
    </row>
  </sheetData>
  <mergeCells count="10">
    <mergeCell ref="B3:E3"/>
    <mergeCell ref="F3:I3"/>
    <mergeCell ref="J3:M3"/>
    <mergeCell ref="N3:Q3"/>
    <mergeCell ref="R3:U3"/>
    <mergeCell ref="B4:E4"/>
    <mergeCell ref="F4:I4"/>
    <mergeCell ref="J4:M4"/>
    <mergeCell ref="N4:Q4"/>
    <mergeCell ref="R4:U4"/>
  </mergeCells>
  <phoneticPr fontId="1"/>
  <conditionalFormatting sqref="C6:D23">
    <cfRule type="expression" dxfId="36" priority="2">
      <formula>"10&gt;"</formula>
    </cfRule>
  </conditionalFormatting>
  <conditionalFormatting sqref="G6:H23 K6:L23 O6:P23 S6:T23">
    <cfRule type="expression" dxfId="35" priority="1">
      <formula>"10&gt;"</formula>
    </cfRule>
  </conditionalFormatting>
  <pageMargins left="0.39" right="0.19685039370078741" top="0.53" bottom="0.19685039370078741" header="0.79" footer="0.2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A515-E1BB-4A64-BF20-ADF6C3B59D38}">
  <sheetPr>
    <tabColor rgb="FFFFFF00"/>
    <pageSetUpPr fitToPage="1"/>
  </sheetPr>
  <dimension ref="A1:BM38"/>
  <sheetViews>
    <sheetView tabSelected="1" zoomScale="70" zoomScaleNormal="70" workbookViewId="0">
      <selection activeCell="Z6" sqref="Z6:AD6"/>
    </sheetView>
  </sheetViews>
  <sheetFormatPr defaultRowHeight="21.75"/>
  <cols>
    <col min="1" max="1" width="5.625" style="55" customWidth="1"/>
    <col min="2" max="4" width="5.625" style="64" customWidth="1"/>
    <col min="5" max="5" width="7.125" style="7" customWidth="1"/>
    <col min="6" max="6" width="22.375" style="1" customWidth="1"/>
    <col min="7" max="7" width="5.5" style="1" customWidth="1"/>
    <col min="8" max="8" width="5.125" style="1" customWidth="1"/>
    <col min="9" max="9" width="10.375" style="1" customWidth="1"/>
    <col min="10" max="10" width="4.625" style="1" hidden="1" customWidth="1"/>
    <col min="11" max="11" width="5.375" style="1" hidden="1" customWidth="1"/>
    <col min="12" max="12" width="6.25" style="1" hidden="1" customWidth="1"/>
    <col min="13" max="13" width="5.375" style="1" hidden="1" customWidth="1"/>
    <col min="14" max="14" width="5.375" style="64" customWidth="1"/>
    <col min="15" max="15" width="6.375" style="64" customWidth="1"/>
    <col min="16" max="16" width="6.5" style="64" customWidth="1"/>
    <col min="17" max="17" width="7.875" style="8" customWidth="1"/>
    <col min="18" max="18" width="20.875" style="1" customWidth="1"/>
    <col min="19" max="19" width="4.875" style="1" customWidth="1"/>
    <col min="20" max="20" width="4.75" style="1" customWidth="1"/>
    <col min="21" max="21" width="11.25" style="1" customWidth="1"/>
    <col min="22" max="22" width="2.625" style="1" hidden="1" customWidth="1"/>
    <col min="23" max="23" width="3" style="1" hidden="1" customWidth="1"/>
    <col min="24" max="25" width="4.625" style="1" hidden="1" customWidth="1"/>
    <col min="26" max="26" width="5.125" style="64" customWidth="1"/>
    <col min="27" max="28" width="5.875" style="64" customWidth="1"/>
    <col min="29" max="29" width="6.875" style="8" customWidth="1"/>
    <col min="30" max="30" width="20.875" style="1" customWidth="1"/>
    <col min="31" max="31" width="4.875" style="1" customWidth="1"/>
    <col min="32" max="32" width="5.125" style="1" customWidth="1"/>
    <col min="33" max="33" width="11.125" style="1" customWidth="1"/>
    <col min="34" max="34" width="3.875" style="1" hidden="1" customWidth="1"/>
    <col min="35" max="35" width="4.5" style="1" hidden="1" customWidth="1"/>
    <col min="36" max="36" width="5.5" style="1" hidden="1" customWidth="1"/>
    <col min="37" max="37" width="9.125" style="1" hidden="1" customWidth="1"/>
    <col min="38" max="38" width="5.375" style="55" customWidth="1"/>
    <col min="39" max="39" width="6.125" style="55" customWidth="1"/>
    <col min="40" max="40" width="6.75" style="55" customWidth="1"/>
    <col min="41" max="41" width="6.625" style="8" customWidth="1"/>
    <col min="42" max="42" width="20.875" style="1" customWidth="1"/>
    <col min="43" max="43" width="6.25" style="1" customWidth="1"/>
    <col min="44" max="44" width="6.375" style="1" customWidth="1"/>
    <col min="45" max="45" width="11.375" style="1" customWidth="1"/>
    <col min="46" max="49" width="7.5" style="1" hidden="1" customWidth="1"/>
    <col min="50" max="50" width="5.125" style="55" customWidth="1"/>
    <col min="51" max="51" width="6.75" style="55" customWidth="1"/>
    <col min="52" max="52" width="7" style="55" customWidth="1"/>
    <col min="53" max="53" width="6.875" style="8" customWidth="1"/>
    <col min="54" max="54" width="21.625" style="2" customWidth="1"/>
    <col min="55" max="55" width="5.75" style="1" customWidth="1"/>
    <col min="56" max="56" width="6.875" style="1" customWidth="1"/>
    <col min="57" max="57" width="11.125" style="1" customWidth="1"/>
    <col min="58" max="58" width="6" style="1" hidden="1" customWidth="1"/>
    <col min="59" max="59" width="4.875" style="1" hidden="1" customWidth="1"/>
    <col min="60" max="60" width="6.625" style="1" hidden="1" customWidth="1"/>
    <col min="61" max="61" width="0.25" style="1" customWidth="1"/>
    <col min="62" max="16384" width="9" style="1"/>
  </cols>
  <sheetData>
    <row r="1" spans="1:65" ht="39" customHeight="1" thickBot="1">
      <c r="A1" s="191"/>
      <c r="B1" s="191"/>
      <c r="C1" s="191"/>
      <c r="D1" s="191"/>
      <c r="E1" s="191"/>
      <c r="F1" s="103"/>
      <c r="G1" s="184"/>
      <c r="H1" s="184"/>
      <c r="I1" s="184"/>
      <c r="J1" s="184"/>
      <c r="K1" s="184"/>
      <c r="L1" s="184"/>
      <c r="M1" s="67"/>
      <c r="N1" s="67"/>
      <c r="O1" s="67"/>
      <c r="P1" s="67"/>
      <c r="Q1" s="67"/>
      <c r="R1" s="67"/>
      <c r="S1" s="67"/>
      <c r="T1" s="192"/>
      <c r="U1" s="192"/>
      <c r="V1" s="192"/>
      <c r="W1" s="192"/>
      <c r="X1" s="67"/>
      <c r="Y1" s="67"/>
      <c r="Z1" s="67"/>
      <c r="AA1" s="67"/>
      <c r="AB1" s="67"/>
      <c r="AC1" s="67"/>
      <c r="AD1" s="130" t="s">
        <v>7</v>
      </c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</row>
    <row r="2" spans="1:65" ht="54.75" customHeight="1" thickBot="1">
      <c r="A2" s="185" t="s">
        <v>144</v>
      </c>
      <c r="B2" s="186"/>
      <c r="C2" s="186"/>
      <c r="D2" s="186"/>
      <c r="E2" s="187"/>
      <c r="F2" s="181">
        <f ca="1">NOW()</f>
        <v>46217.416346874998</v>
      </c>
      <c r="G2" s="182"/>
      <c r="H2" s="182"/>
      <c r="I2" s="182"/>
      <c r="J2" s="182"/>
      <c r="K2" s="182"/>
      <c r="L2" s="182"/>
      <c r="M2" s="182"/>
      <c r="N2" s="183"/>
      <c r="O2" s="175" t="s">
        <v>146</v>
      </c>
      <c r="P2" s="176"/>
      <c r="Q2" s="176"/>
      <c r="R2" s="67"/>
      <c r="S2" s="67"/>
      <c r="T2" s="102"/>
      <c r="U2" s="102"/>
      <c r="V2" s="102"/>
      <c r="W2" s="102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</row>
    <row r="3" spans="1:65" s="21" customFormat="1" ht="47.25" customHeight="1" thickTop="1" thickBot="1">
      <c r="A3" s="55"/>
      <c r="B3" s="193" t="s">
        <v>137</v>
      </c>
      <c r="C3" s="194"/>
      <c r="D3" s="194"/>
      <c r="E3" s="194"/>
      <c r="F3" s="195"/>
      <c r="G3" s="70">
        <v>1</v>
      </c>
      <c r="H3" s="71">
        <v>2</v>
      </c>
      <c r="I3" s="71">
        <v>3</v>
      </c>
      <c r="J3" s="71"/>
      <c r="K3" s="71"/>
      <c r="L3" s="71"/>
      <c r="M3" s="72"/>
      <c r="N3" s="193" t="s">
        <v>140</v>
      </c>
      <c r="O3" s="194"/>
      <c r="P3" s="194"/>
      <c r="Q3" s="194"/>
      <c r="R3" s="195"/>
      <c r="S3" s="70">
        <v>1</v>
      </c>
      <c r="T3" s="71">
        <v>2</v>
      </c>
      <c r="U3" s="71">
        <v>3</v>
      </c>
      <c r="V3" s="71">
        <v>4</v>
      </c>
      <c r="W3" s="71">
        <v>5</v>
      </c>
      <c r="X3" s="71">
        <v>6</v>
      </c>
      <c r="Y3" s="72">
        <v>7</v>
      </c>
      <c r="Z3" s="193" t="s">
        <v>141</v>
      </c>
      <c r="AA3" s="194"/>
      <c r="AB3" s="194"/>
      <c r="AC3" s="194"/>
      <c r="AD3" s="195"/>
      <c r="AE3" s="70">
        <v>1</v>
      </c>
      <c r="AF3" s="71">
        <v>2</v>
      </c>
      <c r="AG3" s="71">
        <v>3</v>
      </c>
      <c r="AH3" s="71">
        <v>4</v>
      </c>
      <c r="AI3" s="71">
        <v>5</v>
      </c>
      <c r="AJ3" s="71">
        <v>6</v>
      </c>
      <c r="AK3" s="72">
        <v>7</v>
      </c>
      <c r="AL3" s="193" t="s">
        <v>142</v>
      </c>
      <c r="AM3" s="194"/>
      <c r="AN3" s="194"/>
      <c r="AO3" s="194"/>
      <c r="AP3" s="195"/>
      <c r="AQ3" s="70">
        <v>1</v>
      </c>
      <c r="AR3" s="71">
        <v>2</v>
      </c>
      <c r="AS3" s="71">
        <v>3</v>
      </c>
      <c r="AT3" s="71">
        <v>4</v>
      </c>
      <c r="AU3" s="71">
        <v>5</v>
      </c>
      <c r="AV3" s="71">
        <v>6</v>
      </c>
      <c r="AW3" s="72">
        <v>7</v>
      </c>
      <c r="AX3" s="193" t="s">
        <v>143</v>
      </c>
      <c r="AY3" s="194"/>
      <c r="AZ3" s="194"/>
      <c r="BA3" s="194"/>
      <c r="BB3" s="195"/>
      <c r="BC3" s="70">
        <v>1</v>
      </c>
      <c r="BD3" s="71">
        <v>2</v>
      </c>
      <c r="BE3" s="71">
        <v>3</v>
      </c>
      <c r="BF3" s="71">
        <v>4</v>
      </c>
      <c r="BG3" s="71">
        <v>5</v>
      </c>
      <c r="BH3" s="71">
        <v>6</v>
      </c>
      <c r="BI3" s="72">
        <v>7</v>
      </c>
    </row>
    <row r="4" spans="1:65" s="23" customFormat="1" ht="33.75" customHeight="1">
      <c r="A4" s="196" t="s">
        <v>105</v>
      </c>
      <c r="B4" s="231"/>
      <c r="C4" s="232"/>
      <c r="D4" s="232"/>
      <c r="E4" s="232"/>
      <c r="F4" s="233"/>
      <c r="G4" s="177" t="s">
        <v>124</v>
      </c>
      <c r="H4" s="179" t="s">
        <v>122</v>
      </c>
      <c r="I4" s="179" t="s">
        <v>123</v>
      </c>
      <c r="J4" s="179"/>
      <c r="K4" s="179"/>
      <c r="L4" s="179"/>
      <c r="M4" s="200"/>
      <c r="N4" s="231"/>
      <c r="O4" s="232"/>
      <c r="P4" s="232"/>
      <c r="Q4" s="232"/>
      <c r="R4" s="233"/>
      <c r="S4" s="177" t="s">
        <v>124</v>
      </c>
      <c r="T4" s="179" t="s">
        <v>122</v>
      </c>
      <c r="U4" s="179" t="s">
        <v>123</v>
      </c>
      <c r="V4" s="179"/>
      <c r="W4" s="179"/>
      <c r="X4" s="179"/>
      <c r="Y4" s="200"/>
      <c r="Z4" s="231"/>
      <c r="AA4" s="232"/>
      <c r="AB4" s="232"/>
      <c r="AC4" s="232"/>
      <c r="AD4" s="233"/>
      <c r="AE4" s="177" t="s">
        <v>124</v>
      </c>
      <c r="AF4" s="179" t="s">
        <v>122</v>
      </c>
      <c r="AG4" s="179" t="s">
        <v>123</v>
      </c>
      <c r="AH4" s="179"/>
      <c r="AI4" s="179"/>
      <c r="AJ4" s="179"/>
      <c r="AK4" s="200"/>
      <c r="AL4" s="237"/>
      <c r="AM4" s="238"/>
      <c r="AN4" s="238"/>
      <c r="AO4" s="238"/>
      <c r="AP4" s="239"/>
      <c r="AQ4" s="177" t="s">
        <v>124</v>
      </c>
      <c r="AR4" s="179" t="s">
        <v>122</v>
      </c>
      <c r="AS4" s="179" t="s">
        <v>123</v>
      </c>
      <c r="AT4" s="179"/>
      <c r="AU4" s="179"/>
      <c r="AV4" s="179"/>
      <c r="AW4" s="200"/>
      <c r="AX4" s="231"/>
      <c r="AY4" s="232"/>
      <c r="AZ4" s="232"/>
      <c r="BA4" s="232"/>
      <c r="BB4" s="233"/>
      <c r="BC4" s="177" t="s">
        <v>124</v>
      </c>
      <c r="BD4" s="179" t="s">
        <v>122</v>
      </c>
      <c r="BE4" s="179" t="s">
        <v>123</v>
      </c>
      <c r="BF4" s="179"/>
      <c r="BG4" s="179"/>
      <c r="BH4" s="179"/>
      <c r="BI4" s="200"/>
    </row>
    <row r="5" spans="1:65" s="143" customFormat="1" ht="33.75" customHeight="1">
      <c r="A5" s="197"/>
      <c r="B5" s="234"/>
      <c r="C5" s="235"/>
      <c r="D5" s="235"/>
      <c r="E5" s="235"/>
      <c r="F5" s="236"/>
      <c r="G5" s="178"/>
      <c r="H5" s="180"/>
      <c r="I5" s="180"/>
      <c r="J5" s="180"/>
      <c r="K5" s="180"/>
      <c r="L5" s="180"/>
      <c r="M5" s="201"/>
      <c r="N5" s="234"/>
      <c r="O5" s="235"/>
      <c r="P5" s="235"/>
      <c r="Q5" s="235"/>
      <c r="R5" s="236"/>
      <c r="S5" s="178"/>
      <c r="T5" s="180"/>
      <c r="U5" s="180"/>
      <c r="V5" s="180"/>
      <c r="W5" s="180"/>
      <c r="X5" s="180"/>
      <c r="Y5" s="201"/>
      <c r="Z5" s="234"/>
      <c r="AA5" s="235"/>
      <c r="AB5" s="235"/>
      <c r="AC5" s="235"/>
      <c r="AD5" s="236"/>
      <c r="AE5" s="178"/>
      <c r="AF5" s="180"/>
      <c r="AG5" s="180"/>
      <c r="AH5" s="180"/>
      <c r="AI5" s="180"/>
      <c r="AJ5" s="180"/>
      <c r="AK5" s="201"/>
      <c r="AL5" s="234"/>
      <c r="AM5" s="235"/>
      <c r="AN5" s="235"/>
      <c r="AO5" s="235"/>
      <c r="AP5" s="236"/>
      <c r="AQ5" s="178"/>
      <c r="AR5" s="180"/>
      <c r="AS5" s="180"/>
      <c r="AT5" s="180"/>
      <c r="AU5" s="180"/>
      <c r="AV5" s="180"/>
      <c r="AW5" s="201"/>
      <c r="AX5" s="234"/>
      <c r="AY5" s="235"/>
      <c r="AZ5" s="235"/>
      <c r="BA5" s="235"/>
      <c r="BB5" s="236"/>
      <c r="BC5" s="178"/>
      <c r="BD5" s="180"/>
      <c r="BE5" s="180"/>
      <c r="BF5" s="180"/>
      <c r="BG5" s="180"/>
      <c r="BH5" s="180"/>
      <c r="BI5" s="201"/>
    </row>
    <row r="6" spans="1:65" s="23" customFormat="1" ht="33.75" customHeight="1" thickBot="1">
      <c r="A6" s="197"/>
      <c r="B6" s="203"/>
      <c r="C6" s="204"/>
      <c r="D6" s="204"/>
      <c r="E6" s="204"/>
      <c r="F6" s="205"/>
      <c r="G6" s="178"/>
      <c r="H6" s="180"/>
      <c r="I6" s="180"/>
      <c r="J6" s="180"/>
      <c r="K6" s="180"/>
      <c r="L6" s="180"/>
      <c r="M6" s="201"/>
      <c r="N6" s="203"/>
      <c r="O6" s="204"/>
      <c r="P6" s="204"/>
      <c r="Q6" s="204"/>
      <c r="R6" s="205"/>
      <c r="S6" s="178"/>
      <c r="T6" s="180"/>
      <c r="U6" s="180"/>
      <c r="V6" s="180"/>
      <c r="W6" s="180"/>
      <c r="X6" s="180"/>
      <c r="Y6" s="201"/>
      <c r="Z6" s="203"/>
      <c r="AA6" s="204"/>
      <c r="AB6" s="204"/>
      <c r="AC6" s="204"/>
      <c r="AD6" s="205"/>
      <c r="AE6" s="178"/>
      <c r="AF6" s="180"/>
      <c r="AG6" s="180"/>
      <c r="AH6" s="180"/>
      <c r="AI6" s="180"/>
      <c r="AJ6" s="180"/>
      <c r="AK6" s="201"/>
      <c r="AL6" s="203"/>
      <c r="AM6" s="204"/>
      <c r="AN6" s="204"/>
      <c r="AO6" s="204"/>
      <c r="AP6" s="205"/>
      <c r="AQ6" s="178"/>
      <c r="AR6" s="180"/>
      <c r="AS6" s="180"/>
      <c r="AT6" s="180"/>
      <c r="AU6" s="180"/>
      <c r="AV6" s="180"/>
      <c r="AW6" s="201"/>
      <c r="AX6" s="203"/>
      <c r="AY6" s="204"/>
      <c r="AZ6" s="204"/>
      <c r="BA6" s="204"/>
      <c r="BB6" s="205"/>
      <c r="BC6" s="178"/>
      <c r="BD6" s="180"/>
      <c r="BE6" s="180"/>
      <c r="BF6" s="180"/>
      <c r="BG6" s="180"/>
      <c r="BH6" s="180"/>
      <c r="BI6" s="201"/>
    </row>
    <row r="7" spans="1:65" s="54" customFormat="1" ht="24.75" customHeight="1" thickTop="1" thickBot="1">
      <c r="A7" s="198"/>
      <c r="B7" s="69" t="s">
        <v>109</v>
      </c>
      <c r="C7" s="162" t="s">
        <v>145</v>
      </c>
      <c r="D7" s="161" t="s">
        <v>1</v>
      </c>
      <c r="E7" s="160" t="s">
        <v>106</v>
      </c>
      <c r="F7" s="129" t="s">
        <v>114</v>
      </c>
      <c r="G7" s="136"/>
      <c r="H7" s="137"/>
      <c r="I7" s="137"/>
      <c r="J7" s="199"/>
      <c r="K7" s="199"/>
      <c r="L7" s="199"/>
      <c r="M7" s="202"/>
      <c r="N7" s="138" t="s">
        <v>109</v>
      </c>
      <c r="O7" s="162" t="s">
        <v>145</v>
      </c>
      <c r="P7" s="161" t="s">
        <v>1</v>
      </c>
      <c r="Q7" s="160" t="s">
        <v>106</v>
      </c>
      <c r="R7" s="129" t="s">
        <v>114</v>
      </c>
      <c r="S7" s="136"/>
      <c r="T7" s="137"/>
      <c r="U7" s="137"/>
      <c r="V7" s="199"/>
      <c r="W7" s="199"/>
      <c r="X7" s="199"/>
      <c r="Y7" s="202"/>
      <c r="Z7" s="69" t="s">
        <v>109</v>
      </c>
      <c r="AA7" s="162" t="s">
        <v>145</v>
      </c>
      <c r="AB7" s="161" t="s">
        <v>1</v>
      </c>
      <c r="AC7" s="160" t="s">
        <v>106</v>
      </c>
      <c r="AD7" s="129" t="s">
        <v>114</v>
      </c>
      <c r="AE7" s="136"/>
      <c r="AF7" s="137"/>
      <c r="AG7" s="137"/>
      <c r="AH7" s="199"/>
      <c r="AI7" s="199"/>
      <c r="AJ7" s="199"/>
      <c r="AK7" s="202"/>
      <c r="AL7" s="69" t="s">
        <v>109</v>
      </c>
      <c r="AM7" s="162" t="s">
        <v>145</v>
      </c>
      <c r="AN7" s="161" t="s">
        <v>1</v>
      </c>
      <c r="AO7" s="160" t="s">
        <v>106</v>
      </c>
      <c r="AP7" s="129" t="s">
        <v>114</v>
      </c>
      <c r="AQ7" s="136"/>
      <c r="AR7" s="137"/>
      <c r="AS7" s="137"/>
      <c r="AT7" s="199"/>
      <c r="AU7" s="199"/>
      <c r="AV7" s="199"/>
      <c r="AW7" s="202"/>
      <c r="AX7" s="69" t="s">
        <v>109</v>
      </c>
      <c r="AY7" s="162" t="s">
        <v>145</v>
      </c>
      <c r="AZ7" s="161" t="s">
        <v>1</v>
      </c>
      <c r="BA7" s="160" t="s">
        <v>106</v>
      </c>
      <c r="BB7" s="129" t="s">
        <v>114</v>
      </c>
      <c r="BC7" s="136"/>
      <c r="BD7" s="137"/>
      <c r="BE7" s="137"/>
      <c r="BF7" s="199"/>
      <c r="BG7" s="199"/>
      <c r="BH7" s="199"/>
      <c r="BI7" s="202"/>
    </row>
    <row r="8" spans="1:65" s="56" customFormat="1" ht="37.5" customHeight="1">
      <c r="A8" s="211" t="s">
        <v>8</v>
      </c>
      <c r="B8" s="127"/>
      <c r="C8" s="132" t="str">
        <f>IFERROR(RANK(E8, E$8:E$25, 1),"")</f>
        <v/>
      </c>
      <c r="D8" s="132"/>
      <c r="E8" s="144"/>
      <c r="F8" s="140"/>
      <c r="G8" s="104"/>
      <c r="H8" s="105"/>
      <c r="I8" s="105"/>
      <c r="J8" s="78"/>
      <c r="K8" s="78"/>
      <c r="L8" s="78"/>
      <c r="M8" s="79"/>
      <c r="N8" s="127"/>
      <c r="O8" s="132" t="str">
        <f>IFERROR(RANK(Q8, Q$8:Q$25, 1),"")</f>
        <v/>
      </c>
      <c r="P8" s="132"/>
      <c r="Q8" s="144"/>
      <c r="R8" s="140"/>
      <c r="S8" s="104"/>
      <c r="T8" s="105"/>
      <c r="U8" s="105"/>
      <c r="V8" s="78"/>
      <c r="W8" s="78"/>
      <c r="X8" s="78"/>
      <c r="Y8" s="79"/>
      <c r="Z8" s="127"/>
      <c r="AA8" s="132" t="str">
        <f>IFERROR(RANK(AC8, AC$8:AC$25, 1),"")</f>
        <v/>
      </c>
      <c r="AB8" s="132"/>
      <c r="AC8" s="144"/>
      <c r="AD8" s="163"/>
      <c r="AE8" s="114"/>
      <c r="AF8" s="115"/>
      <c r="AG8" s="115"/>
      <c r="AH8" s="78"/>
      <c r="AI8" s="78"/>
      <c r="AJ8" s="78"/>
      <c r="AK8" s="79"/>
      <c r="AL8" s="127"/>
      <c r="AM8" s="132" t="str">
        <f>IFERROR(RANK(AO8, AO$8:AO$25, 1),"")</f>
        <v/>
      </c>
      <c r="AN8" s="132"/>
      <c r="AO8" s="144"/>
      <c r="AP8" s="139"/>
      <c r="AQ8" s="104"/>
      <c r="AR8" s="105"/>
      <c r="AS8" s="105"/>
      <c r="AT8" s="82"/>
      <c r="AU8" s="82"/>
      <c r="AV8" s="82"/>
      <c r="AW8" s="83"/>
      <c r="AX8" s="127"/>
      <c r="AY8" s="132" t="str">
        <f>IFERROR(RANK(BA8, BA$8:BA$25, 1),"")</f>
        <v/>
      </c>
      <c r="AZ8" s="132"/>
      <c r="BA8" s="144"/>
      <c r="BB8" s="139"/>
      <c r="BC8" s="104"/>
      <c r="BD8" s="105"/>
      <c r="BE8" s="105"/>
      <c r="BF8" s="78" t="s">
        <v>131</v>
      </c>
      <c r="BG8" s="78"/>
      <c r="BH8" s="78"/>
      <c r="BI8" s="79"/>
    </row>
    <row r="9" spans="1:65" s="56" customFormat="1" ht="37.5" customHeight="1" thickBot="1">
      <c r="A9" s="212"/>
      <c r="B9" s="128" t="str">
        <f>IF(OR(E8="",E9=""),"",E9/E8)</f>
        <v/>
      </c>
      <c r="C9" s="170" t="str">
        <f t="shared" ref="C9:C25" si="0">IFERROR(RANK(E9, E$8:E$25, 1),"")</f>
        <v/>
      </c>
      <c r="D9" s="133"/>
      <c r="E9" s="145"/>
      <c r="F9" s="131"/>
      <c r="G9" s="106"/>
      <c r="H9" s="107"/>
      <c r="I9" s="107"/>
      <c r="J9" s="92"/>
      <c r="K9" s="92"/>
      <c r="L9" s="92"/>
      <c r="M9" s="93"/>
      <c r="N9" s="128" t="str">
        <f>IF(OR(Q8="",Q9=""),"",Q9/Q8)</f>
        <v/>
      </c>
      <c r="O9" s="170" t="str">
        <f t="shared" ref="O9:O25" si="1">IFERROR(RANK(Q9, Q$8:Q$25, 1),"")</f>
        <v/>
      </c>
      <c r="P9" s="133"/>
      <c r="Q9" s="145"/>
      <c r="R9" s="131"/>
      <c r="S9" s="106"/>
      <c r="T9" s="116"/>
      <c r="U9" s="116"/>
      <c r="V9" s="80"/>
      <c r="W9" s="80"/>
      <c r="X9" s="80"/>
      <c r="Y9" s="81"/>
      <c r="Z9" s="128" t="str">
        <f>IF(OR(AC8="",AC9=""),"",AC9/AC8)</f>
        <v/>
      </c>
      <c r="AA9" s="170" t="str">
        <f t="shared" ref="AA9:AA25" si="2">IFERROR(RANK(AC9, AC$8:AC$25, 1),"")</f>
        <v/>
      </c>
      <c r="AB9" s="133"/>
      <c r="AC9" s="145"/>
      <c r="AD9" s="142"/>
      <c r="AE9" s="106"/>
      <c r="AF9" s="107"/>
      <c r="AG9" s="107"/>
      <c r="AH9" s="92"/>
      <c r="AI9" s="92"/>
      <c r="AJ9" s="92"/>
      <c r="AK9" s="93"/>
      <c r="AL9" s="128" t="str">
        <f>IF(OR(AO8="",AO9=""),"",AO9/AO8)</f>
        <v/>
      </c>
      <c r="AM9" s="170" t="str">
        <f t="shared" ref="AM9:AM25" si="3">IFERROR(RANK(AO9, AO$8:AO$25, 1),"")</f>
        <v/>
      </c>
      <c r="AN9" s="133"/>
      <c r="AO9" s="145"/>
      <c r="AP9" s="142"/>
      <c r="AQ9" s="106"/>
      <c r="AR9" s="107"/>
      <c r="AS9" s="107"/>
      <c r="AT9" s="92"/>
      <c r="AU9" s="92"/>
      <c r="AV9" s="92"/>
      <c r="AW9" s="93"/>
      <c r="AX9" s="128" t="str">
        <f>IF(OR(BA8="",BA9=""),"",BA9/BA8)</f>
        <v/>
      </c>
      <c r="AY9" s="170" t="str">
        <f t="shared" ref="AY9:AY25" si="4">IFERROR(RANK(BA9, BA$8:BA$25, 1),"")</f>
        <v/>
      </c>
      <c r="AZ9" s="133"/>
      <c r="BA9" s="145"/>
      <c r="BB9" s="151"/>
      <c r="BC9" s="106"/>
      <c r="BD9" s="107"/>
      <c r="BE9" s="107"/>
      <c r="BF9" s="80" t="s">
        <v>128</v>
      </c>
      <c r="BG9" s="80"/>
      <c r="BH9" s="80"/>
      <c r="BI9" s="81"/>
    </row>
    <row r="10" spans="1:65" ht="37.5" customHeight="1">
      <c r="A10" s="213" t="s">
        <v>9</v>
      </c>
      <c r="B10" s="149" t="str">
        <f>IF(OR(E9="",E10=""),"",E10/E9)</f>
        <v/>
      </c>
      <c r="C10" s="132" t="str">
        <f t="shared" si="0"/>
        <v/>
      </c>
      <c r="D10" s="132"/>
      <c r="E10" s="144"/>
      <c r="F10" s="140"/>
      <c r="G10" s="104"/>
      <c r="H10" s="105"/>
      <c r="I10" s="105"/>
      <c r="J10" s="94"/>
      <c r="K10" s="94"/>
      <c r="L10" s="94"/>
      <c r="M10" s="96"/>
      <c r="N10" s="149" t="str">
        <f>IF(OR(Q9="",Q10=""),"",Q10/Q9)</f>
        <v/>
      </c>
      <c r="O10" s="132" t="str">
        <f t="shared" si="1"/>
        <v/>
      </c>
      <c r="P10" s="132"/>
      <c r="Q10" s="144"/>
      <c r="R10" s="139"/>
      <c r="S10" s="104"/>
      <c r="T10" s="105"/>
      <c r="U10" s="105"/>
      <c r="V10" s="78"/>
      <c r="W10" s="78"/>
      <c r="X10" s="78"/>
      <c r="Y10" s="79"/>
      <c r="Z10" s="149" t="str">
        <f>IF(OR(AC9="",AC10=""),"",AC10/AC9)</f>
        <v/>
      </c>
      <c r="AA10" s="132" t="str">
        <f t="shared" si="2"/>
        <v/>
      </c>
      <c r="AB10" s="132"/>
      <c r="AC10" s="144"/>
      <c r="AD10" s="140"/>
      <c r="AE10" s="104"/>
      <c r="AF10" s="105"/>
      <c r="AG10" s="105"/>
      <c r="AH10" s="78"/>
      <c r="AI10" s="78"/>
      <c r="AJ10" s="78"/>
      <c r="AK10" s="79"/>
      <c r="AL10" s="149" t="str">
        <f>IF(OR(AO9="",AO10=""),"",AO10/AO9)</f>
        <v/>
      </c>
      <c r="AM10" s="132" t="str">
        <f t="shared" si="3"/>
        <v/>
      </c>
      <c r="AN10" s="132"/>
      <c r="AO10" s="144"/>
      <c r="AP10" s="140"/>
      <c r="AQ10" s="104"/>
      <c r="AR10" s="105"/>
      <c r="AS10" s="105"/>
      <c r="AT10" s="78"/>
      <c r="AU10" s="78"/>
      <c r="AV10" s="78"/>
      <c r="AW10" s="79"/>
      <c r="AX10" s="149" t="str">
        <f>IF(OR(BA9="",BA10=""),"",BA10/BA9)</f>
        <v/>
      </c>
      <c r="AY10" s="132" t="str">
        <f t="shared" si="4"/>
        <v/>
      </c>
      <c r="AZ10" s="132"/>
      <c r="BA10" s="144"/>
      <c r="BB10" s="140"/>
      <c r="BC10" s="104"/>
      <c r="BD10" s="120"/>
      <c r="BE10" s="105"/>
      <c r="BF10" s="78" t="s">
        <v>126</v>
      </c>
      <c r="BG10" s="78"/>
      <c r="BH10" s="78"/>
      <c r="BI10" s="79"/>
      <c r="BM10" s="1" t="s">
        <v>107</v>
      </c>
    </row>
    <row r="11" spans="1:65" s="56" customFormat="1" ht="37.5" customHeight="1">
      <c r="A11" s="214"/>
      <c r="B11" s="173" t="str">
        <f>IF(OR(E10="",E11=""),"",E11/E10)</f>
        <v/>
      </c>
      <c r="C11" s="170" t="str">
        <f t="shared" si="0"/>
        <v/>
      </c>
      <c r="D11" s="134"/>
      <c r="E11" s="146"/>
      <c r="F11" s="139"/>
      <c r="G11" s="108"/>
      <c r="H11" s="109"/>
      <c r="I11" s="109"/>
      <c r="J11" s="84"/>
      <c r="K11" s="84"/>
      <c r="L11" s="84"/>
      <c r="M11" s="85"/>
      <c r="N11" s="173" t="str">
        <f>IF(OR(Q10="",Q11=""),"",Q11/Q10)</f>
        <v/>
      </c>
      <c r="O11" s="170" t="str">
        <f t="shared" si="1"/>
        <v/>
      </c>
      <c r="P11" s="134"/>
      <c r="Q11" s="146"/>
      <c r="R11" s="140"/>
      <c r="S11" s="108"/>
      <c r="T11" s="109"/>
      <c r="U11" s="109"/>
      <c r="V11" s="84"/>
      <c r="W11" s="84"/>
      <c r="X11" s="84"/>
      <c r="Y11" s="85"/>
      <c r="Z11" s="173" t="str">
        <f>IF(OR(AC10="",AC11=""),"",AC11/AC10)</f>
        <v/>
      </c>
      <c r="AA11" s="170" t="str">
        <f t="shared" si="2"/>
        <v/>
      </c>
      <c r="AB11" s="134"/>
      <c r="AC11" s="146"/>
      <c r="AD11" s="139"/>
      <c r="AE11" s="108"/>
      <c r="AF11" s="109"/>
      <c r="AG11" s="109"/>
      <c r="AH11" s="84"/>
      <c r="AI11" s="84"/>
      <c r="AJ11" s="84"/>
      <c r="AK11" s="85"/>
      <c r="AL11" s="173" t="str">
        <f>IF(OR(AO10="",AO11=""),"",AO11/AO10)</f>
        <v/>
      </c>
      <c r="AM11" s="170" t="str">
        <f t="shared" si="3"/>
        <v/>
      </c>
      <c r="AN11" s="134"/>
      <c r="AO11" s="146"/>
      <c r="AP11" s="163"/>
      <c r="AQ11" s="108"/>
      <c r="AR11" s="109"/>
      <c r="AS11" s="109"/>
      <c r="AT11" s="84"/>
      <c r="AU11" s="84"/>
      <c r="AV11" s="84"/>
      <c r="AW11" s="85"/>
      <c r="AX11" s="173" t="str">
        <f>IF(OR(BA10="",BA11=""),"",BA11/BA10)</f>
        <v/>
      </c>
      <c r="AY11" s="170" t="str">
        <f t="shared" si="4"/>
        <v/>
      </c>
      <c r="AZ11" s="134"/>
      <c r="BA11" s="146"/>
      <c r="BB11" s="140"/>
      <c r="BC11" s="108"/>
      <c r="BD11" s="109"/>
      <c r="BE11" s="109"/>
      <c r="BF11" s="86" t="s">
        <v>133</v>
      </c>
      <c r="BG11" s="86"/>
      <c r="BH11" s="86"/>
      <c r="BI11" s="87"/>
    </row>
    <row r="12" spans="1:65" ht="37.5" customHeight="1" thickBot="1">
      <c r="A12" s="215"/>
      <c r="B12" s="172" t="str">
        <f t="shared" ref="B12:B25" si="5">IF(OR(E11="",E12=""),"",E12/E11)</f>
        <v/>
      </c>
      <c r="C12" s="170" t="str">
        <f t="shared" si="0"/>
        <v/>
      </c>
      <c r="D12" s="133"/>
      <c r="E12" s="147"/>
      <c r="F12" s="142"/>
      <c r="G12" s="106"/>
      <c r="H12" s="116"/>
      <c r="I12" s="107"/>
      <c r="J12" s="80"/>
      <c r="K12" s="80"/>
      <c r="L12" s="80"/>
      <c r="M12" s="81"/>
      <c r="N12" s="172" t="str">
        <f t="shared" ref="N12:N25" si="6">IF(OR(Q11="",Q12=""),"",Q12/Q11)</f>
        <v/>
      </c>
      <c r="O12" s="170" t="str">
        <f t="shared" si="1"/>
        <v/>
      </c>
      <c r="P12" s="133"/>
      <c r="Q12" s="147"/>
      <c r="R12" s="131"/>
      <c r="S12" s="106"/>
      <c r="T12" s="158"/>
      <c r="U12" s="158"/>
      <c r="V12" s="80"/>
      <c r="W12" s="80"/>
      <c r="X12" s="80"/>
      <c r="Y12" s="81"/>
      <c r="Z12" s="172" t="str">
        <f t="shared" ref="Z12:Z25" si="7">IF(OR(AC11="",AC12=""),"",AC12/AC11)</f>
        <v/>
      </c>
      <c r="AA12" s="170" t="str">
        <f t="shared" si="2"/>
        <v/>
      </c>
      <c r="AB12" s="133"/>
      <c r="AC12" s="147"/>
      <c r="AD12" s="142"/>
      <c r="AE12" s="106"/>
      <c r="AF12" s="107"/>
      <c r="AG12" s="107"/>
      <c r="AH12" s="80"/>
      <c r="AI12" s="80"/>
      <c r="AJ12" s="80"/>
      <c r="AK12" s="81"/>
      <c r="AL12" s="172" t="str">
        <f t="shared" ref="AL12:AL25" si="8">IF(OR(AO11="",AO12=""),"",AO12/AO11)</f>
        <v/>
      </c>
      <c r="AM12" s="170" t="str">
        <f t="shared" si="3"/>
        <v/>
      </c>
      <c r="AN12" s="133"/>
      <c r="AO12" s="147"/>
      <c r="AP12" s="151"/>
      <c r="AQ12" s="106"/>
      <c r="AR12" s="107"/>
      <c r="AS12" s="107"/>
      <c r="AT12" s="80"/>
      <c r="AU12" s="80"/>
      <c r="AV12" s="80"/>
      <c r="AW12" s="81"/>
      <c r="AX12" s="172" t="str">
        <f t="shared" ref="AX12:AX25" si="9">IF(OR(BA11="",BA12=""),"",BA12/BA11)</f>
        <v/>
      </c>
      <c r="AY12" s="170" t="str">
        <f t="shared" si="4"/>
        <v/>
      </c>
      <c r="AZ12" s="133"/>
      <c r="BA12" s="147"/>
      <c r="BB12" s="131"/>
      <c r="BC12" s="106"/>
      <c r="BD12" s="116"/>
      <c r="BE12" s="107"/>
      <c r="BF12" s="80" t="s">
        <v>132</v>
      </c>
      <c r="BG12" s="80"/>
      <c r="BH12" s="80"/>
      <c r="BI12" s="81"/>
    </row>
    <row r="13" spans="1:65" ht="37.5" customHeight="1">
      <c r="A13" s="216" t="s">
        <v>10</v>
      </c>
      <c r="B13" s="149" t="str">
        <f t="shared" si="5"/>
        <v/>
      </c>
      <c r="C13" s="132" t="str">
        <f t="shared" si="0"/>
        <v/>
      </c>
      <c r="D13" s="132"/>
      <c r="E13" s="144"/>
      <c r="F13" s="139"/>
      <c r="G13" s="104"/>
      <c r="H13" s="105"/>
      <c r="I13" s="105"/>
      <c r="J13" s="82"/>
      <c r="K13" s="82"/>
      <c r="L13" s="82"/>
      <c r="M13" s="83"/>
      <c r="N13" s="149" t="str">
        <f t="shared" si="6"/>
        <v/>
      </c>
      <c r="O13" s="132" t="str">
        <f t="shared" si="1"/>
        <v/>
      </c>
      <c r="P13" s="132"/>
      <c r="Q13" s="144"/>
      <c r="R13" s="139"/>
      <c r="S13" s="104"/>
      <c r="T13" s="105"/>
      <c r="U13" s="105"/>
      <c r="V13" s="82"/>
      <c r="W13" s="82"/>
      <c r="X13" s="82"/>
      <c r="Y13" s="83"/>
      <c r="Z13" s="149" t="str">
        <f t="shared" si="7"/>
        <v/>
      </c>
      <c r="AA13" s="132" t="str">
        <f t="shared" si="2"/>
        <v/>
      </c>
      <c r="AB13" s="132"/>
      <c r="AC13" s="144"/>
      <c r="AD13" s="140"/>
      <c r="AE13" s="104"/>
      <c r="AF13" s="105"/>
      <c r="AG13" s="105"/>
      <c r="AH13" s="78"/>
      <c r="AI13" s="78"/>
      <c r="AJ13" s="78"/>
      <c r="AK13" s="79"/>
      <c r="AL13" s="149" t="str">
        <f t="shared" si="8"/>
        <v/>
      </c>
      <c r="AM13" s="132" t="str">
        <f t="shared" si="3"/>
        <v/>
      </c>
      <c r="AN13" s="132"/>
      <c r="AO13" s="164"/>
      <c r="AP13" s="139"/>
      <c r="AQ13" s="104"/>
      <c r="AR13" s="105"/>
      <c r="AS13" s="105"/>
      <c r="AT13" s="78"/>
      <c r="AU13" s="78"/>
      <c r="AV13" s="78"/>
      <c r="AW13" s="79"/>
      <c r="AX13" s="149" t="str">
        <f t="shared" si="9"/>
        <v/>
      </c>
      <c r="AY13" s="132" t="str">
        <f t="shared" si="4"/>
        <v/>
      </c>
      <c r="AZ13" s="132"/>
      <c r="BA13" s="144"/>
      <c r="BB13" s="139"/>
      <c r="BC13" s="104"/>
      <c r="BD13" s="119"/>
      <c r="BE13" s="105"/>
      <c r="BF13" s="78" t="s">
        <v>129</v>
      </c>
      <c r="BG13" s="78"/>
      <c r="BH13" s="78"/>
      <c r="BI13" s="79"/>
    </row>
    <row r="14" spans="1:65" ht="37.5" customHeight="1">
      <c r="A14" s="217"/>
      <c r="B14" s="173" t="str">
        <f t="shared" si="5"/>
        <v/>
      </c>
      <c r="C14" s="170" t="str">
        <f t="shared" si="0"/>
        <v/>
      </c>
      <c r="D14" s="134"/>
      <c r="E14" s="165"/>
      <c r="F14" s="166"/>
      <c r="G14" s="108"/>
      <c r="H14" s="109"/>
      <c r="I14" s="109"/>
      <c r="J14" s="84"/>
      <c r="K14" s="84"/>
      <c r="L14" s="84"/>
      <c r="M14" s="85"/>
      <c r="N14" s="173" t="str">
        <f t="shared" si="6"/>
        <v/>
      </c>
      <c r="O14" s="170" t="str">
        <f t="shared" si="1"/>
        <v/>
      </c>
      <c r="P14" s="134"/>
      <c r="Q14" s="146"/>
      <c r="R14" s="167"/>
      <c r="S14" s="108"/>
      <c r="T14" s="109"/>
      <c r="U14" s="109"/>
      <c r="V14" s="84"/>
      <c r="W14" s="84"/>
      <c r="X14" s="84"/>
      <c r="Y14" s="85"/>
      <c r="Z14" s="173" t="str">
        <f t="shared" si="7"/>
        <v/>
      </c>
      <c r="AA14" s="170" t="str">
        <f t="shared" si="2"/>
        <v/>
      </c>
      <c r="AB14" s="134"/>
      <c r="AC14" s="146"/>
      <c r="AD14" s="166"/>
      <c r="AE14" s="108"/>
      <c r="AF14" s="109"/>
      <c r="AG14" s="109"/>
      <c r="AH14" s="84"/>
      <c r="AI14" s="84"/>
      <c r="AJ14" s="84"/>
      <c r="AK14" s="85"/>
      <c r="AL14" s="173" t="str">
        <f t="shared" si="8"/>
        <v/>
      </c>
      <c r="AM14" s="170" t="str">
        <f t="shared" si="3"/>
        <v/>
      </c>
      <c r="AN14" s="134"/>
      <c r="AO14" s="146"/>
      <c r="AP14" s="167"/>
      <c r="AQ14" s="108"/>
      <c r="AR14" s="109"/>
      <c r="AS14" s="109"/>
      <c r="AT14" s="84"/>
      <c r="AU14" s="84"/>
      <c r="AV14" s="84"/>
      <c r="AW14" s="85"/>
      <c r="AX14" s="173" t="str">
        <f t="shared" si="9"/>
        <v/>
      </c>
      <c r="AY14" s="170" t="str">
        <f t="shared" si="4"/>
        <v/>
      </c>
      <c r="AZ14" s="134"/>
      <c r="BA14" s="146"/>
      <c r="BB14" s="167"/>
      <c r="BC14" s="108"/>
      <c r="BD14" s="109"/>
      <c r="BE14" s="109"/>
      <c r="BF14" s="84" t="s">
        <v>130</v>
      </c>
      <c r="BG14" s="84"/>
      <c r="BH14" s="84"/>
      <c r="BI14" s="85"/>
    </row>
    <row r="15" spans="1:65" s="56" customFormat="1" ht="37.5" customHeight="1" thickBot="1">
      <c r="A15" s="218"/>
      <c r="B15" s="172" t="str">
        <f t="shared" si="5"/>
        <v/>
      </c>
      <c r="C15" s="170" t="str">
        <f t="shared" si="0"/>
        <v/>
      </c>
      <c r="D15" s="133"/>
      <c r="E15" s="147"/>
      <c r="F15" s="57"/>
      <c r="G15" s="110"/>
      <c r="H15" s="111"/>
      <c r="I15" s="107"/>
      <c r="J15" s="80"/>
      <c r="K15" s="80"/>
      <c r="L15" s="80"/>
      <c r="M15" s="81"/>
      <c r="N15" s="172" t="str">
        <f t="shared" si="6"/>
        <v/>
      </c>
      <c r="O15" s="170" t="str">
        <f t="shared" si="1"/>
        <v/>
      </c>
      <c r="P15" s="133"/>
      <c r="Q15" s="147"/>
      <c r="R15" s="57"/>
      <c r="S15" s="106"/>
      <c r="T15" s="107"/>
      <c r="U15" s="107"/>
      <c r="V15" s="80"/>
      <c r="W15" s="80"/>
      <c r="X15" s="80"/>
      <c r="Y15" s="81"/>
      <c r="Z15" s="172" t="str">
        <f t="shared" si="7"/>
        <v/>
      </c>
      <c r="AA15" s="170" t="str">
        <f t="shared" si="2"/>
        <v/>
      </c>
      <c r="AB15" s="133"/>
      <c r="AC15" s="147"/>
      <c r="AD15" s="58"/>
      <c r="AE15" s="110"/>
      <c r="AF15" s="111"/>
      <c r="AG15" s="111"/>
      <c r="AH15" s="92"/>
      <c r="AI15" s="92"/>
      <c r="AJ15" s="92"/>
      <c r="AK15" s="93"/>
      <c r="AL15" s="172" t="str">
        <f t="shared" si="8"/>
        <v/>
      </c>
      <c r="AM15" s="170" t="str">
        <f t="shared" si="3"/>
        <v/>
      </c>
      <c r="AN15" s="133"/>
      <c r="AO15" s="147"/>
      <c r="AP15" s="57"/>
      <c r="AQ15" s="106"/>
      <c r="AR15" s="107"/>
      <c r="AS15" s="107"/>
      <c r="AT15" s="80"/>
      <c r="AU15" s="80"/>
      <c r="AV15" s="80"/>
      <c r="AW15" s="81"/>
      <c r="AX15" s="172" t="str">
        <f t="shared" si="9"/>
        <v/>
      </c>
      <c r="AY15" s="170" t="str">
        <f t="shared" si="4"/>
        <v/>
      </c>
      <c r="AZ15" s="133"/>
      <c r="BA15" s="147"/>
      <c r="BB15" s="57"/>
      <c r="BC15" s="110"/>
      <c r="BD15" s="111"/>
      <c r="BE15" s="111"/>
      <c r="BF15" s="88" t="s">
        <v>134</v>
      </c>
      <c r="BG15" s="88"/>
      <c r="BH15" s="88"/>
      <c r="BI15" s="89"/>
    </row>
    <row r="16" spans="1:65" ht="37.5" customHeight="1">
      <c r="A16" s="219" t="s">
        <v>11</v>
      </c>
      <c r="B16" s="149" t="str">
        <f t="shared" si="5"/>
        <v/>
      </c>
      <c r="C16" s="132" t="str">
        <f t="shared" si="0"/>
        <v/>
      </c>
      <c r="D16" s="132"/>
      <c r="E16" s="144"/>
      <c r="F16" s="125"/>
      <c r="G16" s="104"/>
      <c r="H16" s="105"/>
      <c r="I16" s="105"/>
      <c r="J16" s="78"/>
      <c r="K16" s="78"/>
      <c r="L16" s="78"/>
      <c r="M16" s="79"/>
      <c r="N16" s="149" t="str">
        <f t="shared" si="6"/>
        <v/>
      </c>
      <c r="O16" s="132" t="str">
        <f t="shared" si="1"/>
        <v/>
      </c>
      <c r="P16" s="132"/>
      <c r="Q16" s="155"/>
      <c r="R16" s="122"/>
      <c r="S16" s="104"/>
      <c r="T16" s="105"/>
      <c r="U16" s="105"/>
      <c r="V16" s="82"/>
      <c r="W16" s="82"/>
      <c r="X16" s="82"/>
      <c r="Y16" s="83"/>
      <c r="Z16" s="149" t="str">
        <f t="shared" si="7"/>
        <v/>
      </c>
      <c r="AA16" s="132" t="str">
        <f t="shared" si="2"/>
        <v/>
      </c>
      <c r="AB16" s="132"/>
      <c r="AC16" s="144"/>
      <c r="AD16" s="122"/>
      <c r="AE16" s="104"/>
      <c r="AF16" s="105"/>
      <c r="AG16" s="105"/>
      <c r="AH16" s="78"/>
      <c r="AI16" s="78"/>
      <c r="AJ16" s="78"/>
      <c r="AK16" s="79"/>
      <c r="AL16" s="149" t="str">
        <f t="shared" si="8"/>
        <v/>
      </c>
      <c r="AM16" s="132" t="str">
        <f t="shared" si="3"/>
        <v/>
      </c>
      <c r="AN16" s="132"/>
      <c r="AO16" s="144"/>
      <c r="AP16" s="125"/>
      <c r="AQ16" s="104"/>
      <c r="AR16" s="105"/>
      <c r="AS16" s="105"/>
      <c r="AT16" s="78"/>
      <c r="AU16" s="78"/>
      <c r="AV16" s="78"/>
      <c r="AW16" s="79"/>
      <c r="AX16" s="149" t="str">
        <f t="shared" si="9"/>
        <v/>
      </c>
      <c r="AY16" s="132" t="str">
        <f t="shared" si="4"/>
        <v/>
      </c>
      <c r="AZ16" s="132"/>
      <c r="BA16" s="169"/>
      <c r="BB16" s="122"/>
      <c r="BC16" s="104"/>
      <c r="BD16" s="105"/>
      <c r="BE16" s="105"/>
      <c r="BF16" s="78" t="s">
        <v>138</v>
      </c>
      <c r="BG16" s="78"/>
      <c r="BH16" s="78"/>
      <c r="BI16" s="79"/>
    </row>
    <row r="17" spans="1:61" ht="37.5" customHeight="1">
      <c r="A17" s="220"/>
      <c r="B17" s="173" t="str">
        <f t="shared" si="5"/>
        <v/>
      </c>
      <c r="C17" s="170" t="str">
        <f t="shared" si="0"/>
        <v/>
      </c>
      <c r="D17" s="134"/>
      <c r="E17" s="146"/>
      <c r="F17" s="124"/>
      <c r="G17" s="108"/>
      <c r="H17" s="109"/>
      <c r="I17" s="109"/>
      <c r="J17" s="84"/>
      <c r="K17" s="84"/>
      <c r="L17" s="84"/>
      <c r="M17" s="85"/>
      <c r="N17" s="173" t="str">
        <f t="shared" si="6"/>
        <v/>
      </c>
      <c r="O17" s="170" t="str">
        <f t="shared" si="1"/>
        <v/>
      </c>
      <c r="P17" s="134"/>
      <c r="Q17" s="146"/>
      <c r="R17" s="124"/>
      <c r="S17" s="108"/>
      <c r="T17" s="109"/>
      <c r="U17" s="109"/>
      <c r="V17" s="86"/>
      <c r="W17" s="86"/>
      <c r="X17" s="86"/>
      <c r="Y17" s="87"/>
      <c r="Z17" s="173" t="str">
        <f t="shared" si="7"/>
        <v/>
      </c>
      <c r="AA17" s="170" t="str">
        <f t="shared" si="2"/>
        <v/>
      </c>
      <c r="AB17" s="134"/>
      <c r="AC17" s="146"/>
      <c r="AD17" s="124"/>
      <c r="AE17" s="108"/>
      <c r="AF17" s="156"/>
      <c r="AG17" s="109"/>
      <c r="AH17" s="84"/>
      <c r="AI17" s="84"/>
      <c r="AJ17" s="84"/>
      <c r="AK17" s="85"/>
      <c r="AL17" s="173" t="str">
        <f t="shared" si="8"/>
        <v/>
      </c>
      <c r="AM17" s="170" t="str">
        <f t="shared" si="3"/>
        <v/>
      </c>
      <c r="AN17" s="134"/>
      <c r="AO17" s="146"/>
      <c r="AP17" s="124"/>
      <c r="AQ17" s="108"/>
      <c r="AR17" s="109"/>
      <c r="AS17" s="109"/>
      <c r="AT17" s="84"/>
      <c r="AU17" s="84"/>
      <c r="AV17" s="84"/>
      <c r="AW17" s="85"/>
      <c r="AX17" s="173" t="str">
        <f t="shared" si="9"/>
        <v/>
      </c>
      <c r="AY17" s="170" t="str">
        <f t="shared" si="4"/>
        <v/>
      </c>
      <c r="AZ17" s="134"/>
      <c r="BA17" s="146"/>
      <c r="BB17" s="124"/>
      <c r="BC17" s="108"/>
      <c r="BD17" s="109"/>
      <c r="BE17" s="109"/>
      <c r="BF17" s="86" t="s">
        <v>125</v>
      </c>
      <c r="BG17" s="86"/>
      <c r="BH17" s="86"/>
      <c r="BI17" s="87"/>
    </row>
    <row r="18" spans="1:61" s="56" customFormat="1" ht="37.5" customHeight="1" thickBot="1">
      <c r="A18" s="221"/>
      <c r="B18" s="172" t="str">
        <f t="shared" si="5"/>
        <v/>
      </c>
      <c r="C18" s="170" t="str">
        <f t="shared" si="0"/>
        <v/>
      </c>
      <c r="D18" s="133"/>
      <c r="E18" s="147"/>
      <c r="F18" s="57"/>
      <c r="G18" s="106"/>
      <c r="H18" s="107"/>
      <c r="I18" s="107"/>
      <c r="J18" s="80"/>
      <c r="K18" s="80"/>
      <c r="L18" s="80"/>
      <c r="M18" s="81"/>
      <c r="N18" s="172" t="str">
        <f t="shared" si="6"/>
        <v/>
      </c>
      <c r="O18" s="170" t="str">
        <f t="shared" si="1"/>
        <v/>
      </c>
      <c r="P18" s="133"/>
      <c r="Q18" s="147"/>
      <c r="R18" s="157"/>
      <c r="S18" s="106"/>
      <c r="T18" s="107"/>
      <c r="U18" s="107"/>
      <c r="V18" s="80"/>
      <c r="W18" s="80"/>
      <c r="X18" s="80"/>
      <c r="Y18" s="81"/>
      <c r="Z18" s="172" t="str">
        <f t="shared" si="7"/>
        <v/>
      </c>
      <c r="AA18" s="170" t="str">
        <f t="shared" si="2"/>
        <v/>
      </c>
      <c r="AB18" s="133"/>
      <c r="AC18" s="147"/>
      <c r="AD18" s="57"/>
      <c r="AE18" s="106"/>
      <c r="AF18" s="107"/>
      <c r="AG18" s="107"/>
      <c r="AH18" s="80"/>
      <c r="AI18" s="80"/>
      <c r="AJ18" s="80"/>
      <c r="AK18" s="81"/>
      <c r="AL18" s="172" t="str">
        <f t="shared" si="8"/>
        <v/>
      </c>
      <c r="AM18" s="170" t="str">
        <f t="shared" si="3"/>
        <v/>
      </c>
      <c r="AN18" s="133"/>
      <c r="AO18" s="147"/>
      <c r="AP18" s="57"/>
      <c r="AQ18" s="106"/>
      <c r="AR18" s="107"/>
      <c r="AS18" s="107"/>
      <c r="AT18" s="92"/>
      <c r="AU18" s="92"/>
      <c r="AV18" s="92"/>
      <c r="AW18" s="93"/>
      <c r="AX18" s="172" t="str">
        <f t="shared" si="9"/>
        <v/>
      </c>
      <c r="AY18" s="170" t="str">
        <f t="shared" si="4"/>
        <v/>
      </c>
      <c r="AZ18" s="133"/>
      <c r="BA18" s="147"/>
      <c r="BB18" s="57"/>
      <c r="BC18" s="106"/>
      <c r="BD18" s="107"/>
      <c r="BE18" s="107"/>
      <c r="BF18" s="80" t="s">
        <v>127</v>
      </c>
      <c r="BG18" s="80"/>
      <c r="BH18" s="80"/>
      <c r="BI18" s="81"/>
    </row>
    <row r="19" spans="1:61" s="56" customFormat="1" ht="37.5" customHeight="1">
      <c r="A19" s="222" t="s">
        <v>12</v>
      </c>
      <c r="B19" s="149" t="str">
        <f t="shared" si="5"/>
        <v/>
      </c>
      <c r="C19" s="132" t="str">
        <f t="shared" si="0"/>
        <v/>
      </c>
      <c r="D19" s="132"/>
      <c r="E19" s="144"/>
      <c r="F19" s="159"/>
      <c r="G19" s="104"/>
      <c r="H19" s="105"/>
      <c r="I19" s="105"/>
      <c r="J19" s="78"/>
      <c r="K19" s="78"/>
      <c r="L19" s="78"/>
      <c r="M19" s="79"/>
      <c r="N19" s="149" t="str">
        <f t="shared" si="6"/>
        <v/>
      </c>
      <c r="O19" s="132" t="str">
        <f t="shared" si="1"/>
        <v/>
      </c>
      <c r="P19" s="132"/>
      <c r="Q19" s="144"/>
      <c r="R19" s="122"/>
      <c r="S19" s="104"/>
      <c r="T19" s="105"/>
      <c r="U19" s="105"/>
      <c r="V19" s="78"/>
      <c r="W19" s="78"/>
      <c r="X19" s="78"/>
      <c r="Y19" s="79"/>
      <c r="Z19" s="149" t="str">
        <f t="shared" si="7"/>
        <v/>
      </c>
      <c r="AA19" s="132" t="str">
        <f t="shared" si="2"/>
        <v/>
      </c>
      <c r="AB19" s="132"/>
      <c r="AC19" s="144"/>
      <c r="AD19" s="122"/>
      <c r="AE19" s="104"/>
      <c r="AF19" s="105"/>
      <c r="AG19" s="105"/>
      <c r="AH19" s="82"/>
      <c r="AI19" s="82"/>
      <c r="AJ19" s="82"/>
      <c r="AK19" s="83"/>
      <c r="AL19" s="149" t="str">
        <f t="shared" si="8"/>
        <v/>
      </c>
      <c r="AM19" s="132" t="str">
        <f t="shared" si="3"/>
        <v/>
      </c>
      <c r="AN19" s="132"/>
      <c r="AO19" s="144"/>
      <c r="AP19" s="125"/>
      <c r="AQ19" s="104"/>
      <c r="AR19" s="105"/>
      <c r="AS19" s="105"/>
      <c r="AT19" s="78"/>
      <c r="AU19" s="78"/>
      <c r="AV19" s="78"/>
      <c r="AW19" s="79"/>
      <c r="AX19" s="149" t="str">
        <f t="shared" si="9"/>
        <v/>
      </c>
      <c r="AY19" s="132" t="str">
        <f t="shared" si="4"/>
        <v/>
      </c>
      <c r="AZ19" s="132"/>
      <c r="BA19" s="144"/>
      <c r="BB19" s="125"/>
      <c r="BC19" s="104"/>
      <c r="BD19" s="105"/>
      <c r="BE19" s="105"/>
      <c r="BF19" s="78" t="s">
        <v>135</v>
      </c>
      <c r="BG19" s="78"/>
      <c r="BH19" s="78"/>
      <c r="BI19" s="79"/>
    </row>
    <row r="20" spans="1:61" ht="37.5" customHeight="1">
      <c r="A20" s="223"/>
      <c r="B20" s="173" t="str">
        <f t="shared" si="5"/>
        <v/>
      </c>
      <c r="C20" s="170" t="str">
        <f t="shared" si="0"/>
        <v/>
      </c>
      <c r="D20" s="134"/>
      <c r="E20" s="146"/>
      <c r="F20" s="123"/>
      <c r="G20" s="108"/>
      <c r="H20" s="156"/>
      <c r="I20" s="109"/>
      <c r="J20" s="84"/>
      <c r="K20" s="84"/>
      <c r="L20" s="84"/>
      <c r="M20" s="85"/>
      <c r="N20" s="173" t="str">
        <f t="shared" si="6"/>
        <v/>
      </c>
      <c r="O20" s="170" t="str">
        <f t="shared" si="1"/>
        <v/>
      </c>
      <c r="P20" s="134"/>
      <c r="Q20" s="146"/>
      <c r="R20" s="123"/>
      <c r="S20" s="108"/>
      <c r="T20" s="109"/>
      <c r="U20" s="109"/>
      <c r="V20" s="84"/>
      <c r="W20" s="84"/>
      <c r="X20" s="84"/>
      <c r="Y20" s="85"/>
      <c r="Z20" s="173" t="str">
        <f t="shared" si="7"/>
        <v/>
      </c>
      <c r="AA20" s="170" t="str">
        <f t="shared" si="2"/>
        <v/>
      </c>
      <c r="AB20" s="134"/>
      <c r="AC20" s="146"/>
      <c r="AD20" s="141"/>
      <c r="AE20" s="108"/>
      <c r="AF20" s="121"/>
      <c r="AG20" s="109"/>
      <c r="AH20" s="84"/>
      <c r="AI20" s="84"/>
      <c r="AJ20" s="84"/>
      <c r="AK20" s="85"/>
      <c r="AL20" s="173" t="str">
        <f t="shared" si="8"/>
        <v/>
      </c>
      <c r="AM20" s="170" t="str">
        <f t="shared" si="3"/>
        <v/>
      </c>
      <c r="AN20" s="134"/>
      <c r="AO20" s="146"/>
      <c r="AP20" s="141"/>
      <c r="AQ20" s="108"/>
      <c r="AR20" s="109"/>
      <c r="AS20" s="109"/>
      <c r="AT20" s="84"/>
      <c r="AU20" s="84"/>
      <c r="AV20" s="84"/>
      <c r="AW20" s="85"/>
      <c r="AX20" s="173" t="str">
        <f t="shared" si="9"/>
        <v/>
      </c>
      <c r="AY20" s="170" t="str">
        <f t="shared" si="4"/>
        <v/>
      </c>
      <c r="AZ20" s="134"/>
      <c r="BA20" s="146"/>
      <c r="BB20" s="154"/>
      <c r="BC20" s="108"/>
      <c r="BD20" s="156"/>
      <c r="BE20" s="109"/>
      <c r="BF20" s="84" t="s">
        <v>136</v>
      </c>
      <c r="BG20" s="84"/>
      <c r="BH20" s="84"/>
      <c r="BI20" s="85"/>
    </row>
    <row r="21" spans="1:61" ht="37.5" customHeight="1" thickBot="1">
      <c r="A21" s="224"/>
      <c r="B21" s="172" t="str">
        <f t="shared" si="5"/>
        <v/>
      </c>
      <c r="C21" s="170" t="str">
        <f t="shared" si="0"/>
        <v/>
      </c>
      <c r="D21" s="133"/>
      <c r="E21" s="147"/>
      <c r="F21" s="126"/>
      <c r="G21" s="106"/>
      <c r="H21" s="107"/>
      <c r="I21" s="107"/>
      <c r="J21" s="80"/>
      <c r="K21" s="80"/>
      <c r="L21" s="80"/>
      <c r="M21" s="81"/>
      <c r="N21" s="172" t="str">
        <f t="shared" si="6"/>
        <v/>
      </c>
      <c r="O21" s="170" t="str">
        <f t="shared" si="1"/>
        <v/>
      </c>
      <c r="P21" s="133"/>
      <c r="Q21" s="147"/>
      <c r="R21" s="126"/>
      <c r="S21" s="106"/>
      <c r="T21" s="107"/>
      <c r="U21" s="107"/>
      <c r="V21" s="80"/>
      <c r="W21" s="80"/>
      <c r="X21" s="80"/>
      <c r="Y21" s="81"/>
      <c r="Z21" s="172" t="str">
        <f t="shared" si="7"/>
        <v/>
      </c>
      <c r="AA21" s="170" t="str">
        <f t="shared" si="2"/>
        <v/>
      </c>
      <c r="AB21" s="133"/>
      <c r="AC21" s="168"/>
      <c r="AD21" s="57"/>
      <c r="AE21" s="106"/>
      <c r="AF21" s="107"/>
      <c r="AG21" s="107"/>
      <c r="AH21" s="80"/>
      <c r="AI21" s="80"/>
      <c r="AJ21" s="80"/>
      <c r="AK21" s="81"/>
      <c r="AL21" s="172" t="str">
        <f t="shared" si="8"/>
        <v/>
      </c>
      <c r="AM21" s="170" t="str">
        <f t="shared" si="3"/>
        <v/>
      </c>
      <c r="AN21" s="133"/>
      <c r="AO21" s="147"/>
      <c r="AP21" s="57"/>
      <c r="AQ21" s="106"/>
      <c r="AR21" s="107"/>
      <c r="AS21" s="107"/>
      <c r="AT21" s="80"/>
      <c r="AU21" s="80"/>
      <c r="AV21" s="80"/>
      <c r="AW21" s="81"/>
      <c r="AX21" s="172" t="str">
        <f t="shared" si="9"/>
        <v/>
      </c>
      <c r="AY21" s="170" t="str">
        <f t="shared" si="4"/>
        <v/>
      </c>
      <c r="AZ21" s="133"/>
      <c r="BA21" s="147"/>
      <c r="BB21" s="126"/>
      <c r="BC21" s="106"/>
      <c r="BD21" s="158"/>
      <c r="BE21" s="107"/>
      <c r="BF21" s="88" t="s">
        <v>139</v>
      </c>
      <c r="BG21" s="88"/>
      <c r="BH21" s="88"/>
      <c r="BI21" s="89"/>
    </row>
    <row r="22" spans="1:61" ht="37.5" customHeight="1">
      <c r="A22" s="206" t="s">
        <v>13</v>
      </c>
      <c r="B22" s="149" t="str">
        <f t="shared" si="5"/>
        <v/>
      </c>
      <c r="C22" s="132" t="str">
        <f t="shared" si="0"/>
        <v/>
      </c>
      <c r="D22" s="132"/>
      <c r="E22" s="144"/>
      <c r="F22" s="150"/>
      <c r="G22" s="104"/>
      <c r="H22" s="105"/>
      <c r="I22" s="105"/>
      <c r="J22" s="78"/>
      <c r="K22" s="78"/>
      <c r="L22" s="78"/>
      <c r="M22" s="79"/>
      <c r="N22" s="149" t="str">
        <f t="shared" si="6"/>
        <v/>
      </c>
      <c r="O22" s="132" t="str">
        <f t="shared" si="1"/>
        <v/>
      </c>
      <c r="P22" s="132"/>
      <c r="Q22" s="144"/>
      <c r="R22" s="122"/>
      <c r="S22" s="104"/>
      <c r="T22" s="105"/>
      <c r="U22" s="105"/>
      <c r="V22" s="78"/>
      <c r="W22" s="78"/>
      <c r="X22" s="78"/>
      <c r="Y22" s="79"/>
      <c r="Z22" s="149" t="str">
        <f t="shared" si="7"/>
        <v/>
      </c>
      <c r="AA22" s="132" t="str">
        <f t="shared" si="2"/>
        <v/>
      </c>
      <c r="AB22" s="132"/>
      <c r="AC22" s="144"/>
      <c r="AD22" s="125"/>
      <c r="AE22" s="104"/>
      <c r="AF22" s="105"/>
      <c r="AG22" s="105"/>
      <c r="AH22" s="78"/>
      <c r="AI22" s="78"/>
      <c r="AJ22" s="78"/>
      <c r="AK22" s="79"/>
      <c r="AL22" s="149" t="str">
        <f t="shared" si="8"/>
        <v/>
      </c>
      <c r="AM22" s="132" t="str">
        <f t="shared" si="3"/>
        <v/>
      </c>
      <c r="AN22" s="132"/>
      <c r="AO22" s="144"/>
      <c r="AP22" s="125"/>
      <c r="AQ22" s="104"/>
      <c r="AR22" s="105"/>
      <c r="AS22" s="105"/>
      <c r="AT22" s="78"/>
      <c r="AU22" s="78"/>
      <c r="AV22" s="78"/>
      <c r="AW22" s="79"/>
      <c r="AX22" s="149" t="str">
        <f t="shared" si="9"/>
        <v/>
      </c>
      <c r="AY22" s="132" t="str">
        <f t="shared" si="4"/>
        <v/>
      </c>
      <c r="AZ22" s="132"/>
      <c r="BA22" s="144"/>
      <c r="BB22" s="125"/>
      <c r="BC22" s="104"/>
      <c r="BD22" s="105"/>
      <c r="BE22" s="105"/>
      <c r="BF22" s="78"/>
      <c r="BG22" s="78"/>
      <c r="BH22" s="78"/>
      <c r="BI22" s="79"/>
    </row>
    <row r="23" spans="1:61" ht="37.5" customHeight="1">
      <c r="A23" s="207"/>
      <c r="B23" s="173" t="str">
        <f t="shared" si="5"/>
        <v/>
      </c>
      <c r="C23" s="170" t="str">
        <f t="shared" si="0"/>
        <v/>
      </c>
      <c r="D23" s="134"/>
      <c r="E23" s="146"/>
      <c r="F23" s="124"/>
      <c r="G23" s="108"/>
      <c r="H23" s="109"/>
      <c r="I23" s="109"/>
      <c r="J23" s="86"/>
      <c r="K23" s="86"/>
      <c r="L23" s="86"/>
      <c r="M23" s="87"/>
      <c r="N23" s="173" t="str">
        <f t="shared" si="6"/>
        <v/>
      </c>
      <c r="O23" s="170" t="str">
        <f t="shared" si="1"/>
        <v/>
      </c>
      <c r="P23" s="134"/>
      <c r="Q23" s="146"/>
      <c r="R23" s="123"/>
      <c r="S23" s="108"/>
      <c r="T23" s="109"/>
      <c r="U23" s="109"/>
      <c r="V23" s="84"/>
      <c r="W23" s="84"/>
      <c r="X23" s="84"/>
      <c r="Y23" s="85"/>
      <c r="Z23" s="173" t="str">
        <f t="shared" si="7"/>
        <v/>
      </c>
      <c r="AA23" s="170" t="str">
        <f t="shared" si="2"/>
        <v/>
      </c>
      <c r="AB23" s="134"/>
      <c r="AC23" s="146"/>
      <c r="AD23" s="123"/>
      <c r="AE23" s="108"/>
      <c r="AF23" s="109"/>
      <c r="AG23" s="109"/>
      <c r="AH23" s="84"/>
      <c r="AI23" s="84"/>
      <c r="AJ23" s="84"/>
      <c r="AK23" s="85"/>
      <c r="AL23" s="173" t="str">
        <f t="shared" si="8"/>
        <v/>
      </c>
      <c r="AM23" s="170" t="str">
        <f t="shared" si="3"/>
        <v/>
      </c>
      <c r="AN23" s="134"/>
      <c r="AO23" s="146"/>
      <c r="AP23" s="124"/>
      <c r="AQ23" s="108"/>
      <c r="AR23" s="109"/>
      <c r="AS23" s="109"/>
      <c r="AT23" s="84"/>
      <c r="AU23" s="84"/>
      <c r="AV23" s="84"/>
      <c r="AW23" s="85"/>
      <c r="AX23" s="173" t="str">
        <f t="shared" si="9"/>
        <v/>
      </c>
      <c r="AY23" s="170" t="str">
        <f t="shared" si="4"/>
        <v/>
      </c>
      <c r="AZ23" s="134"/>
      <c r="BA23" s="146"/>
      <c r="BB23" s="124"/>
      <c r="BC23" s="152"/>
      <c r="BD23" s="153"/>
      <c r="BE23" s="153"/>
      <c r="BF23" s="84"/>
      <c r="BG23" s="84"/>
      <c r="BH23" s="84"/>
      <c r="BI23" s="85"/>
    </row>
    <row r="24" spans="1:61" ht="37.5" customHeight="1" thickBot="1">
      <c r="A24" s="208"/>
      <c r="B24" s="172" t="str">
        <f t="shared" si="5"/>
        <v/>
      </c>
      <c r="C24" s="170" t="str">
        <f t="shared" si="0"/>
        <v/>
      </c>
      <c r="D24" s="133"/>
      <c r="E24" s="147"/>
      <c r="F24" s="58"/>
      <c r="G24" s="110"/>
      <c r="H24" s="111"/>
      <c r="I24" s="111"/>
      <c r="J24" s="88"/>
      <c r="K24" s="88"/>
      <c r="L24" s="88"/>
      <c r="M24" s="89"/>
      <c r="N24" s="172" t="str">
        <f t="shared" si="6"/>
        <v/>
      </c>
      <c r="O24" s="170" t="str">
        <f t="shared" si="1"/>
        <v/>
      </c>
      <c r="P24" s="133"/>
      <c r="Q24" s="147"/>
      <c r="R24" s="58"/>
      <c r="S24" s="110"/>
      <c r="T24" s="111"/>
      <c r="U24" s="111"/>
      <c r="V24" s="88"/>
      <c r="W24" s="88"/>
      <c r="X24" s="88"/>
      <c r="Y24" s="89"/>
      <c r="Z24" s="172" t="str">
        <f t="shared" si="7"/>
        <v/>
      </c>
      <c r="AA24" s="170" t="str">
        <f t="shared" si="2"/>
        <v/>
      </c>
      <c r="AB24" s="133"/>
      <c r="AC24" s="147"/>
      <c r="AD24" s="57"/>
      <c r="AE24" s="106"/>
      <c r="AF24" s="107"/>
      <c r="AG24" s="107"/>
      <c r="AH24" s="88"/>
      <c r="AI24" s="88"/>
      <c r="AJ24" s="88"/>
      <c r="AK24" s="89"/>
      <c r="AL24" s="172" t="str">
        <f t="shared" si="8"/>
        <v/>
      </c>
      <c r="AM24" s="170" t="str">
        <f t="shared" si="3"/>
        <v/>
      </c>
      <c r="AN24" s="133"/>
      <c r="AO24" s="147"/>
      <c r="AP24" s="57"/>
      <c r="AQ24" s="106"/>
      <c r="AR24" s="107"/>
      <c r="AS24" s="107"/>
      <c r="AT24" s="80"/>
      <c r="AU24" s="80"/>
      <c r="AV24" s="80"/>
      <c r="AW24" s="81"/>
      <c r="AX24" s="172" t="str">
        <f t="shared" si="9"/>
        <v/>
      </c>
      <c r="AY24" s="170" t="str">
        <f t="shared" si="4"/>
        <v/>
      </c>
      <c r="AZ24" s="133" t="str">
        <f>IFERROR(RANK(BA24, BA$8:BA$25, 1),"")</f>
        <v/>
      </c>
      <c r="BA24" s="147"/>
      <c r="BB24" s="99"/>
      <c r="BC24" s="106"/>
      <c r="BD24" s="107"/>
      <c r="BE24" s="107"/>
      <c r="BF24" s="80"/>
      <c r="BG24" s="80"/>
      <c r="BH24" s="80"/>
      <c r="BI24" s="81"/>
    </row>
    <row r="25" spans="1:61" ht="37.5" customHeight="1" thickBot="1">
      <c r="A25" s="68" t="s">
        <v>14</v>
      </c>
      <c r="B25" s="174" t="str">
        <f t="shared" si="5"/>
        <v/>
      </c>
      <c r="C25" s="171" t="str">
        <f t="shared" si="0"/>
        <v/>
      </c>
      <c r="D25" s="135"/>
      <c r="E25" s="148"/>
      <c r="F25" s="98"/>
      <c r="G25" s="117"/>
      <c r="H25" s="118"/>
      <c r="I25" s="118"/>
      <c r="J25" s="95"/>
      <c r="K25" s="95"/>
      <c r="L25" s="95"/>
      <c r="M25" s="97"/>
      <c r="N25" s="174" t="str">
        <f t="shared" si="6"/>
        <v/>
      </c>
      <c r="O25" s="171" t="str">
        <f t="shared" si="1"/>
        <v/>
      </c>
      <c r="P25" s="135" t="str">
        <f>IFERROR(RANK(Q25, Q$8:Q$25, 1),"")</f>
        <v/>
      </c>
      <c r="Q25" s="148"/>
      <c r="R25" s="73"/>
      <c r="S25" s="112"/>
      <c r="T25" s="113"/>
      <c r="U25" s="113"/>
      <c r="V25" s="90"/>
      <c r="W25" s="90"/>
      <c r="X25" s="90"/>
      <c r="Y25" s="91"/>
      <c r="Z25" s="174" t="str">
        <f t="shared" si="7"/>
        <v/>
      </c>
      <c r="AA25" s="171" t="str">
        <f t="shared" si="2"/>
        <v/>
      </c>
      <c r="AB25" s="135"/>
      <c r="AC25" s="148"/>
      <c r="AD25" s="98"/>
      <c r="AE25" s="117"/>
      <c r="AF25" s="118"/>
      <c r="AG25" s="118"/>
      <c r="AH25" s="90"/>
      <c r="AI25" s="90"/>
      <c r="AJ25" s="90"/>
      <c r="AK25" s="91"/>
      <c r="AL25" s="174" t="str">
        <f t="shared" si="8"/>
        <v/>
      </c>
      <c r="AM25" s="171" t="str">
        <f t="shared" si="3"/>
        <v/>
      </c>
      <c r="AN25" s="135"/>
      <c r="AO25" s="148"/>
      <c r="AP25" s="98"/>
      <c r="AQ25" s="117"/>
      <c r="AR25" s="118"/>
      <c r="AS25" s="118"/>
      <c r="AT25" s="95"/>
      <c r="AU25" s="95"/>
      <c r="AV25" s="95"/>
      <c r="AW25" s="97"/>
      <c r="AX25" s="174" t="str">
        <f t="shared" si="9"/>
        <v/>
      </c>
      <c r="AY25" s="171" t="str">
        <f t="shared" si="4"/>
        <v/>
      </c>
      <c r="AZ25" s="135" t="str">
        <f>IFERROR(RANK(BA25, BA$8:BA$25, 1),"")</f>
        <v/>
      </c>
      <c r="BA25" s="148"/>
      <c r="BB25" s="98"/>
      <c r="BC25" s="117"/>
      <c r="BD25" s="118"/>
      <c r="BE25" s="118"/>
      <c r="BF25" s="100"/>
      <c r="BG25" s="100"/>
      <c r="BH25" s="100"/>
      <c r="BI25" s="101"/>
    </row>
    <row r="26" spans="1:61" ht="22.5" thickBot="1">
      <c r="F26" s="2"/>
      <c r="G26" s="2"/>
      <c r="H26" s="2"/>
      <c r="I26" s="2"/>
      <c r="J26" s="2"/>
      <c r="K26" s="2"/>
      <c r="L26" s="2"/>
      <c r="M26" s="2"/>
      <c r="Q26" s="7"/>
      <c r="R26" s="2"/>
      <c r="S26" s="2"/>
      <c r="T26" s="2"/>
      <c r="U26" s="2"/>
      <c r="V26" s="2"/>
      <c r="W26" s="2"/>
      <c r="X26" s="2"/>
      <c r="Y26" s="2"/>
      <c r="AC26" s="7"/>
      <c r="AD26" s="2"/>
      <c r="AE26" s="2"/>
      <c r="AF26" s="2"/>
      <c r="AG26" s="2"/>
      <c r="AH26" s="2"/>
      <c r="AI26" s="2"/>
      <c r="AJ26" s="2"/>
      <c r="AK26" s="2"/>
      <c r="AO26" s="7"/>
      <c r="AP26" s="2"/>
      <c r="AQ26" s="2"/>
      <c r="AR26" s="2"/>
      <c r="AS26" s="2"/>
      <c r="AT26" s="2"/>
      <c r="AU26" s="2"/>
      <c r="AV26" s="2"/>
      <c r="AW26" s="2"/>
      <c r="BA26" s="7"/>
      <c r="BC26" s="2"/>
      <c r="BD26" s="2"/>
      <c r="BE26" s="2"/>
      <c r="BF26" s="2"/>
      <c r="BG26" s="2"/>
      <c r="BH26" s="2"/>
      <c r="BI26" s="2"/>
    </row>
    <row r="27" spans="1:61" ht="20.25" thickBot="1">
      <c r="A27" s="209" t="s">
        <v>108</v>
      </c>
      <c r="B27" s="210"/>
      <c r="C27" s="210"/>
      <c r="D27" s="210"/>
      <c r="E27" s="62" t="e">
        <f>AVERAGE(E8:E25)</f>
        <v>#DIV/0!</v>
      </c>
      <c r="F27" s="61"/>
      <c r="G27" s="63"/>
      <c r="H27" s="63"/>
      <c r="I27" s="63"/>
      <c r="J27" s="63"/>
      <c r="K27" s="63"/>
      <c r="L27" s="63"/>
      <c r="M27" s="63"/>
      <c r="N27" s="65"/>
      <c r="O27" s="65"/>
      <c r="P27" s="65"/>
      <c r="Q27" s="59" t="e">
        <f>AVERAGE(Q8:Q26)</f>
        <v>#DIV/0!</v>
      </c>
      <c r="R27" s="61"/>
      <c r="S27" s="63"/>
      <c r="T27" s="63"/>
      <c r="U27" s="63"/>
      <c r="V27" s="63"/>
      <c r="W27" s="63"/>
      <c r="X27" s="63"/>
      <c r="Y27" s="63"/>
      <c r="Z27" s="65"/>
      <c r="AA27" s="65"/>
      <c r="AB27" s="65"/>
      <c r="AC27" s="59" t="e">
        <f>AVERAGE(AC8:AC26)</f>
        <v>#DIV/0!</v>
      </c>
      <c r="AD27" s="61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59" t="e">
        <f>AVERAGE(AO8:AO26)</f>
        <v>#DIV/0!</v>
      </c>
      <c r="AP27" s="61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59" t="e">
        <f>AVERAGE(BA8:BA26)</f>
        <v>#DIV/0!</v>
      </c>
      <c r="BB27" s="60"/>
      <c r="BC27" s="63"/>
      <c r="BD27" s="63"/>
      <c r="BE27" s="63"/>
      <c r="BF27" s="63"/>
      <c r="BG27" s="63"/>
      <c r="BH27" s="63"/>
      <c r="BI27" s="63"/>
    </row>
    <row r="28" spans="1:61" ht="22.5" thickBot="1"/>
    <row r="29" spans="1:61">
      <c r="E29" s="188" t="s">
        <v>110</v>
      </c>
      <c r="F29" s="189"/>
      <c r="G29" s="189"/>
      <c r="H29" s="189"/>
      <c r="I29" s="189"/>
      <c r="J29" s="189"/>
      <c r="K29" s="189"/>
      <c r="L29" s="189"/>
      <c r="M29" s="190"/>
      <c r="P29" s="1"/>
      <c r="Q29" s="188" t="s">
        <v>111</v>
      </c>
      <c r="R29" s="189"/>
      <c r="S29" s="189"/>
      <c r="T29" s="189"/>
      <c r="U29" s="189"/>
      <c r="V29" s="189"/>
      <c r="W29" s="189"/>
      <c r="X29" s="189"/>
      <c r="Y29" s="190"/>
      <c r="AB29" s="1"/>
      <c r="AC29" s="188" t="s">
        <v>112</v>
      </c>
      <c r="AD29" s="189"/>
      <c r="AE29" s="189"/>
      <c r="AF29" s="189"/>
      <c r="AG29" s="189"/>
      <c r="AH29" s="189"/>
      <c r="AI29" s="189"/>
      <c r="AJ29" s="189"/>
      <c r="AK29" s="190"/>
      <c r="AN29" s="8"/>
      <c r="AO29" s="188" t="s">
        <v>115</v>
      </c>
      <c r="AP29" s="189"/>
      <c r="AQ29" s="189"/>
      <c r="AR29" s="189"/>
      <c r="AS29" s="189"/>
      <c r="AT29" s="189"/>
      <c r="AU29" s="189"/>
      <c r="AV29" s="189"/>
      <c r="AW29" s="190"/>
      <c r="AZ29" s="8"/>
      <c r="BA29" s="188" t="s">
        <v>113</v>
      </c>
      <c r="BB29" s="189"/>
      <c r="BC29" s="189"/>
      <c r="BD29" s="189"/>
      <c r="BE29" s="189"/>
      <c r="BF29" s="189"/>
      <c r="BG29" s="189"/>
      <c r="BH29" s="189"/>
      <c r="BI29" s="190"/>
    </row>
    <row r="30" spans="1:61">
      <c r="E30" s="16">
        <v>1</v>
      </c>
      <c r="F30" s="15" t="s">
        <v>116</v>
      </c>
      <c r="G30" s="225"/>
      <c r="H30" s="226"/>
      <c r="I30" s="227"/>
      <c r="J30" s="15"/>
      <c r="K30" s="15"/>
      <c r="L30" s="15"/>
      <c r="M30" s="74"/>
      <c r="P30" s="1"/>
      <c r="Q30" s="16">
        <v>1</v>
      </c>
      <c r="R30" s="15" t="s">
        <v>116</v>
      </c>
      <c r="S30" s="225"/>
      <c r="T30" s="226"/>
      <c r="U30" s="227"/>
      <c r="V30" s="15"/>
      <c r="W30" s="15"/>
      <c r="X30" s="15"/>
      <c r="Y30" s="74"/>
      <c r="AB30" s="1"/>
      <c r="AC30" s="16">
        <v>1</v>
      </c>
      <c r="AD30" s="15" t="s">
        <v>116</v>
      </c>
      <c r="AE30" s="225"/>
      <c r="AF30" s="226"/>
      <c r="AG30" s="227"/>
      <c r="AH30" s="15"/>
      <c r="AI30" s="15"/>
      <c r="AJ30" s="15"/>
      <c r="AK30" s="74"/>
      <c r="AN30" s="8"/>
      <c r="AO30" s="16">
        <v>1</v>
      </c>
      <c r="AP30" s="15" t="s">
        <v>116</v>
      </c>
      <c r="AQ30" s="225"/>
      <c r="AR30" s="226"/>
      <c r="AS30" s="227"/>
      <c r="AT30" s="15"/>
      <c r="AU30" s="15"/>
      <c r="AV30" s="15"/>
      <c r="AW30" s="74"/>
      <c r="AZ30" s="8"/>
      <c r="BA30" s="16">
        <v>1</v>
      </c>
      <c r="BB30" s="15" t="s">
        <v>116</v>
      </c>
      <c r="BC30" s="225"/>
      <c r="BD30" s="226"/>
      <c r="BE30" s="227"/>
      <c r="BF30" s="15"/>
      <c r="BG30" s="15"/>
      <c r="BH30" s="15"/>
      <c r="BI30" s="74"/>
    </row>
    <row r="31" spans="1:61">
      <c r="E31" s="16">
        <v>2</v>
      </c>
      <c r="F31" s="15" t="s">
        <v>117</v>
      </c>
      <c r="G31" s="225"/>
      <c r="H31" s="226"/>
      <c r="I31" s="227"/>
      <c r="J31" s="15"/>
      <c r="K31" s="15"/>
      <c r="L31" s="15"/>
      <c r="M31" s="74"/>
      <c r="P31" s="1"/>
      <c r="Q31" s="16">
        <v>2</v>
      </c>
      <c r="R31" s="15" t="s">
        <v>117</v>
      </c>
      <c r="S31" s="225"/>
      <c r="T31" s="226"/>
      <c r="U31" s="227"/>
      <c r="V31" s="15"/>
      <c r="W31" s="15"/>
      <c r="X31" s="15"/>
      <c r="Y31" s="74"/>
      <c r="AB31" s="1"/>
      <c r="AC31" s="16">
        <v>2</v>
      </c>
      <c r="AD31" s="15" t="s">
        <v>117</v>
      </c>
      <c r="AE31" s="225"/>
      <c r="AF31" s="226"/>
      <c r="AG31" s="227"/>
      <c r="AH31" s="15"/>
      <c r="AI31" s="15"/>
      <c r="AJ31" s="15"/>
      <c r="AK31" s="74"/>
      <c r="AN31" s="8"/>
      <c r="AO31" s="16">
        <v>2</v>
      </c>
      <c r="AP31" s="15" t="s">
        <v>117</v>
      </c>
      <c r="AQ31" s="225"/>
      <c r="AR31" s="226"/>
      <c r="AS31" s="227"/>
      <c r="AT31" s="15"/>
      <c r="AU31" s="15"/>
      <c r="AV31" s="15"/>
      <c r="AW31" s="74"/>
      <c r="AZ31" s="8"/>
      <c r="BA31" s="16">
        <v>2</v>
      </c>
      <c r="BB31" s="15" t="s">
        <v>117</v>
      </c>
      <c r="BC31" s="225"/>
      <c r="BD31" s="226"/>
      <c r="BE31" s="227"/>
      <c r="BF31" s="15"/>
      <c r="BG31" s="15"/>
      <c r="BH31" s="15"/>
      <c r="BI31" s="74"/>
    </row>
    <row r="32" spans="1:61">
      <c r="E32" s="16">
        <v>3</v>
      </c>
      <c r="F32" s="15" t="s">
        <v>118</v>
      </c>
      <c r="G32" s="225"/>
      <c r="H32" s="226"/>
      <c r="I32" s="227"/>
      <c r="J32" s="15"/>
      <c r="K32" s="15"/>
      <c r="L32" s="15"/>
      <c r="M32" s="74"/>
      <c r="P32" s="1"/>
      <c r="Q32" s="16">
        <v>3</v>
      </c>
      <c r="R32" s="15" t="s">
        <v>118</v>
      </c>
      <c r="S32" s="225"/>
      <c r="T32" s="226"/>
      <c r="U32" s="227"/>
      <c r="V32" s="15"/>
      <c r="W32" s="15"/>
      <c r="X32" s="15"/>
      <c r="Y32" s="74"/>
      <c r="AB32" s="1"/>
      <c r="AC32" s="16">
        <v>3</v>
      </c>
      <c r="AD32" s="15" t="s">
        <v>118</v>
      </c>
      <c r="AE32" s="225"/>
      <c r="AF32" s="226"/>
      <c r="AG32" s="227"/>
      <c r="AH32" s="15"/>
      <c r="AI32" s="15"/>
      <c r="AJ32" s="15"/>
      <c r="AK32" s="74"/>
      <c r="AN32" s="8"/>
      <c r="AO32" s="16">
        <v>3</v>
      </c>
      <c r="AP32" s="15" t="s">
        <v>118</v>
      </c>
      <c r="AQ32" s="225"/>
      <c r="AR32" s="226"/>
      <c r="AS32" s="227"/>
      <c r="AT32" s="15"/>
      <c r="AU32" s="15"/>
      <c r="AV32" s="15"/>
      <c r="AW32" s="74"/>
      <c r="AZ32" s="8"/>
      <c r="BA32" s="16">
        <v>3</v>
      </c>
      <c r="BB32" s="15" t="s">
        <v>118</v>
      </c>
      <c r="BC32" s="225"/>
      <c r="BD32" s="226"/>
      <c r="BE32" s="227"/>
      <c r="BF32" s="15"/>
      <c r="BG32" s="15"/>
      <c r="BH32" s="15"/>
      <c r="BI32" s="74"/>
    </row>
    <row r="33" spans="5:61">
      <c r="E33" s="16">
        <v>4</v>
      </c>
      <c r="F33" s="15" t="s">
        <v>119</v>
      </c>
      <c r="G33" s="225"/>
      <c r="H33" s="226"/>
      <c r="I33" s="227"/>
      <c r="J33" s="15"/>
      <c r="K33" s="15"/>
      <c r="L33" s="15"/>
      <c r="M33" s="74"/>
      <c r="P33" s="1"/>
      <c r="Q33" s="16">
        <v>4</v>
      </c>
      <c r="R33" s="15" t="s">
        <v>119</v>
      </c>
      <c r="S33" s="225"/>
      <c r="T33" s="226"/>
      <c r="U33" s="227"/>
      <c r="V33" s="15"/>
      <c r="W33" s="15"/>
      <c r="X33" s="15"/>
      <c r="Y33" s="74"/>
      <c r="AB33" s="1"/>
      <c r="AC33" s="16">
        <v>4</v>
      </c>
      <c r="AD33" s="15" t="s">
        <v>119</v>
      </c>
      <c r="AE33" s="225"/>
      <c r="AF33" s="226"/>
      <c r="AG33" s="227"/>
      <c r="AH33" s="15"/>
      <c r="AI33" s="15"/>
      <c r="AJ33" s="15"/>
      <c r="AK33" s="74"/>
      <c r="AN33" s="8"/>
      <c r="AO33" s="16">
        <v>4</v>
      </c>
      <c r="AP33" s="15" t="s">
        <v>119</v>
      </c>
      <c r="AQ33" s="225"/>
      <c r="AR33" s="226"/>
      <c r="AS33" s="227"/>
      <c r="AT33" s="15"/>
      <c r="AU33" s="15"/>
      <c r="AV33" s="15"/>
      <c r="AW33" s="74"/>
      <c r="AZ33" s="8"/>
      <c r="BA33" s="16">
        <v>4</v>
      </c>
      <c r="BB33" s="15" t="s">
        <v>119</v>
      </c>
      <c r="BC33" s="225"/>
      <c r="BD33" s="226"/>
      <c r="BE33" s="227"/>
      <c r="BF33" s="15"/>
      <c r="BG33" s="15"/>
      <c r="BH33" s="15"/>
      <c r="BI33" s="74"/>
    </row>
    <row r="34" spans="5:61">
      <c r="E34" s="16">
        <v>5</v>
      </c>
      <c r="F34" s="15" t="s">
        <v>120</v>
      </c>
      <c r="G34" s="225"/>
      <c r="H34" s="226"/>
      <c r="I34" s="227"/>
      <c r="J34" s="15"/>
      <c r="K34" s="15"/>
      <c r="L34" s="15"/>
      <c r="M34" s="74"/>
      <c r="P34" s="1"/>
      <c r="Q34" s="16">
        <v>5</v>
      </c>
      <c r="R34" s="15" t="s">
        <v>120</v>
      </c>
      <c r="S34" s="225"/>
      <c r="T34" s="226"/>
      <c r="U34" s="227"/>
      <c r="V34" s="15"/>
      <c r="W34" s="15"/>
      <c r="X34" s="15"/>
      <c r="Y34" s="74"/>
      <c r="AB34" s="1"/>
      <c r="AC34" s="16">
        <v>5</v>
      </c>
      <c r="AD34" s="15" t="s">
        <v>120</v>
      </c>
      <c r="AE34" s="225"/>
      <c r="AF34" s="226"/>
      <c r="AG34" s="227"/>
      <c r="AH34" s="15"/>
      <c r="AI34" s="15"/>
      <c r="AJ34" s="15"/>
      <c r="AK34" s="74"/>
      <c r="AN34" s="8"/>
      <c r="AO34" s="16">
        <v>5</v>
      </c>
      <c r="AP34" s="15" t="s">
        <v>120</v>
      </c>
      <c r="AQ34" s="225"/>
      <c r="AR34" s="226"/>
      <c r="AS34" s="227"/>
      <c r="AT34" s="15"/>
      <c r="AU34" s="15"/>
      <c r="AV34" s="15"/>
      <c r="AW34" s="74"/>
      <c r="AZ34" s="8"/>
      <c r="BA34" s="16">
        <v>5</v>
      </c>
      <c r="BB34" s="15" t="s">
        <v>120</v>
      </c>
      <c r="BC34" s="225"/>
      <c r="BD34" s="226"/>
      <c r="BE34" s="227"/>
      <c r="BF34" s="15"/>
      <c r="BG34" s="15"/>
      <c r="BH34" s="15"/>
      <c r="BI34" s="74"/>
    </row>
    <row r="35" spans="5:61" ht="22.5" thickBot="1">
      <c r="E35" s="75">
        <v>6</v>
      </c>
      <c r="F35" s="76" t="s">
        <v>121</v>
      </c>
      <c r="G35" s="228"/>
      <c r="H35" s="229"/>
      <c r="I35" s="230"/>
      <c r="J35" s="76"/>
      <c r="K35" s="76"/>
      <c r="L35" s="76"/>
      <c r="M35" s="77"/>
      <c r="P35" s="1"/>
      <c r="Q35" s="75">
        <v>6</v>
      </c>
      <c r="R35" s="76" t="s">
        <v>121</v>
      </c>
      <c r="S35" s="228"/>
      <c r="T35" s="229"/>
      <c r="U35" s="230"/>
      <c r="V35" s="76"/>
      <c r="W35" s="76"/>
      <c r="X35" s="76"/>
      <c r="Y35" s="77"/>
      <c r="AB35" s="1"/>
      <c r="AC35" s="75">
        <v>6</v>
      </c>
      <c r="AD35" s="76" t="s">
        <v>121</v>
      </c>
      <c r="AE35" s="228"/>
      <c r="AF35" s="229"/>
      <c r="AG35" s="230"/>
      <c r="AH35" s="76"/>
      <c r="AI35" s="76"/>
      <c r="AJ35" s="76"/>
      <c r="AK35" s="77"/>
      <c r="AN35" s="8"/>
      <c r="AO35" s="75">
        <v>6</v>
      </c>
      <c r="AP35" s="76" t="s">
        <v>121</v>
      </c>
      <c r="AQ35" s="228"/>
      <c r="AR35" s="229"/>
      <c r="AS35" s="230"/>
      <c r="AT35" s="76"/>
      <c r="AU35" s="76"/>
      <c r="AV35" s="76"/>
      <c r="AW35" s="77"/>
      <c r="AZ35" s="8"/>
      <c r="BA35" s="75">
        <v>6</v>
      </c>
      <c r="BB35" s="76" t="s">
        <v>121</v>
      </c>
      <c r="BC35" s="228"/>
      <c r="BD35" s="229"/>
      <c r="BE35" s="230"/>
      <c r="BF35" s="76"/>
      <c r="BG35" s="76"/>
      <c r="BH35" s="76"/>
      <c r="BI35" s="77"/>
    </row>
    <row r="36" spans="5:61">
      <c r="E36" s="2"/>
      <c r="P36" s="1"/>
      <c r="Q36" s="2"/>
      <c r="AB36" s="1"/>
      <c r="AC36" s="2"/>
      <c r="AN36" s="8"/>
      <c r="AO36" s="2"/>
      <c r="AZ36" s="8"/>
      <c r="BA36" s="2"/>
    </row>
    <row r="38" spans="5:61">
      <c r="AE38" s="66"/>
      <c r="AF38" s="66"/>
      <c r="AG38" s="66"/>
      <c r="AH38" s="66"/>
      <c r="AI38" s="66"/>
      <c r="AJ38" s="66"/>
      <c r="AK38" s="66"/>
      <c r="AQ38" s="66"/>
      <c r="AR38" s="66"/>
      <c r="AS38" s="66"/>
      <c r="AT38" s="66"/>
      <c r="AU38" s="66"/>
      <c r="AV38" s="66"/>
      <c r="AW38" s="66"/>
      <c r="BC38" s="66"/>
      <c r="BD38" s="66"/>
      <c r="BE38" s="66"/>
      <c r="BF38" s="66"/>
      <c r="BG38" s="66"/>
      <c r="BH38" s="66"/>
      <c r="BI38" s="66"/>
    </row>
  </sheetData>
  <autoFilter ref="Z7:AG7" xr:uid="{5FD8A515-E1BB-4A64-BF20-ADF6C3B59D38}">
    <sortState xmlns:xlrd2="http://schemas.microsoft.com/office/spreadsheetml/2017/richdata2" ref="Z8:AG25">
      <sortCondition ref="AA7"/>
    </sortState>
  </autoFilter>
  <mergeCells count="104">
    <mergeCell ref="BC35:BE35"/>
    <mergeCell ref="N4:R4"/>
    <mergeCell ref="B4:F4"/>
    <mergeCell ref="B5:F5"/>
    <mergeCell ref="B6:F6"/>
    <mergeCell ref="N5:R5"/>
    <mergeCell ref="N6:R6"/>
    <mergeCell ref="Z4:AD4"/>
    <mergeCell ref="Z5:AD5"/>
    <mergeCell ref="Z6:AD6"/>
    <mergeCell ref="AL4:AP4"/>
    <mergeCell ref="AL5:AP5"/>
    <mergeCell ref="AL6:AP6"/>
    <mergeCell ref="AX4:BB4"/>
    <mergeCell ref="AX5:BB5"/>
    <mergeCell ref="BC30:BE30"/>
    <mergeCell ref="BC31:BE31"/>
    <mergeCell ref="BC32:BE32"/>
    <mergeCell ref="BC33:BE33"/>
    <mergeCell ref="BC34:BE34"/>
    <mergeCell ref="AE35:AG35"/>
    <mergeCell ref="AQ30:AS30"/>
    <mergeCell ref="AQ31:AS31"/>
    <mergeCell ref="AQ32:AS32"/>
    <mergeCell ref="AQ33:AS33"/>
    <mergeCell ref="AQ34:AS34"/>
    <mergeCell ref="AQ35:AS35"/>
    <mergeCell ref="AE30:AG30"/>
    <mergeCell ref="AE31:AG31"/>
    <mergeCell ref="AE32:AG32"/>
    <mergeCell ref="AE33:AG33"/>
    <mergeCell ref="AE34:AG34"/>
    <mergeCell ref="G35:I35"/>
    <mergeCell ref="S30:U30"/>
    <mergeCell ref="S31:U31"/>
    <mergeCell ref="S32:U32"/>
    <mergeCell ref="S33:U33"/>
    <mergeCell ref="S34:U34"/>
    <mergeCell ref="S35:U35"/>
    <mergeCell ref="G30:I30"/>
    <mergeCell ref="G31:I31"/>
    <mergeCell ref="G32:I32"/>
    <mergeCell ref="G33:I33"/>
    <mergeCell ref="G34:I34"/>
    <mergeCell ref="AO29:AW29"/>
    <mergeCell ref="A22:A24"/>
    <mergeCell ref="A27:D27"/>
    <mergeCell ref="E29:M29"/>
    <mergeCell ref="Q29:Y29"/>
    <mergeCell ref="AC29:AK29"/>
    <mergeCell ref="A8:A9"/>
    <mergeCell ref="A10:A12"/>
    <mergeCell ref="A13:A15"/>
    <mergeCell ref="A16:A18"/>
    <mergeCell ref="A19:A21"/>
    <mergeCell ref="BG4:BG7"/>
    <mergeCell ref="AQ4:AQ6"/>
    <mergeCell ref="AR4:AR6"/>
    <mergeCell ref="AS4:AS6"/>
    <mergeCell ref="BC4:BC6"/>
    <mergeCell ref="BD4:BD6"/>
    <mergeCell ref="BE4:BE6"/>
    <mergeCell ref="BH4:BH7"/>
    <mergeCell ref="BI4:BI7"/>
    <mergeCell ref="AW4:AW7"/>
    <mergeCell ref="BF4:BF7"/>
    <mergeCell ref="AT4:AT7"/>
    <mergeCell ref="AU4:AU7"/>
    <mergeCell ref="AV4:AV7"/>
    <mergeCell ref="AX6:BB6"/>
    <mergeCell ref="AG4:AG6"/>
    <mergeCell ref="G1:L1"/>
    <mergeCell ref="A2:E2"/>
    <mergeCell ref="BA29:BI29"/>
    <mergeCell ref="A1:E1"/>
    <mergeCell ref="T1:W1"/>
    <mergeCell ref="B3:F3"/>
    <mergeCell ref="N3:R3"/>
    <mergeCell ref="AL3:AP3"/>
    <mergeCell ref="AX3:BB3"/>
    <mergeCell ref="A4:A7"/>
    <mergeCell ref="J4:J7"/>
    <mergeCell ref="AK4:AK7"/>
    <mergeCell ref="K4:K7"/>
    <mergeCell ref="L4:L7"/>
    <mergeCell ref="Z3:AD3"/>
    <mergeCell ref="M4:M7"/>
    <mergeCell ref="V4:V7"/>
    <mergeCell ref="W4:W7"/>
    <mergeCell ref="X4:X7"/>
    <mergeCell ref="Y4:Y7"/>
    <mergeCell ref="AH4:AH7"/>
    <mergeCell ref="AI4:AI7"/>
    <mergeCell ref="AJ4:AJ7"/>
    <mergeCell ref="O2:Q2"/>
    <mergeCell ref="G4:G6"/>
    <mergeCell ref="H4:H6"/>
    <mergeCell ref="I4:I6"/>
    <mergeCell ref="S4:S6"/>
    <mergeCell ref="T4:T6"/>
    <mergeCell ref="U4:U6"/>
    <mergeCell ref="AE4:AE6"/>
    <mergeCell ref="AF4:AF6"/>
    <mergeCell ref="F2:N2"/>
  </mergeCells>
  <phoneticPr fontId="1"/>
  <conditionalFormatting sqref="B8:B25 N8:N25 Z8:Z25 AL8:AL25 AX8:AX25">
    <cfRule type="cellIs" dxfId="34" priority="64" operator="greaterThanOrEqual">
      <formula>1.8</formula>
    </cfRule>
  </conditionalFormatting>
  <conditionalFormatting sqref="D8:D25">
    <cfRule type="cellIs" dxfId="33" priority="1" operator="equal">
      <formula>12</formula>
    </cfRule>
    <cfRule type="cellIs" dxfId="32" priority="2" operator="equal">
      <formula>8</formula>
    </cfRule>
    <cfRule type="cellIs" dxfId="31" priority="3" operator="equal">
      <formula>7</formula>
    </cfRule>
    <cfRule type="cellIs" dxfId="30" priority="4" operator="equal">
      <formula>2</formula>
    </cfRule>
    <cfRule type="cellIs" dxfId="29" priority="5" operator="equal">
      <formula>1</formula>
    </cfRule>
  </conditionalFormatting>
  <conditionalFormatting sqref="E8:E25">
    <cfRule type="expression" dxfId="28" priority="78">
      <formula>E8&lt;=10</formula>
    </cfRule>
  </conditionalFormatting>
  <conditionalFormatting sqref="G8:G25">
    <cfRule type="containsText" dxfId="27" priority="68" operator="containsText" text="セ">
      <formula>NOT(ISERROR(SEARCH("セ",G8)))</formula>
    </cfRule>
    <cfRule type="containsText" dxfId="26" priority="69" operator="containsText" text="牝">
      <formula>NOT(ISERROR(SEARCH("牝",G8)))</formula>
    </cfRule>
  </conditionalFormatting>
  <conditionalFormatting sqref="P8:P25">
    <cfRule type="cellIs" dxfId="25" priority="21" operator="equal">
      <formula>12</formula>
    </cfRule>
    <cfRule type="cellIs" dxfId="24" priority="22" operator="equal">
      <formula>8</formula>
    </cfRule>
    <cfRule type="cellIs" dxfId="23" priority="23" operator="equal">
      <formula>7</formula>
    </cfRule>
    <cfRule type="cellIs" dxfId="22" priority="24" operator="equal">
      <formula>2</formula>
    </cfRule>
    <cfRule type="cellIs" dxfId="21" priority="25" operator="equal">
      <formula>1</formula>
    </cfRule>
  </conditionalFormatting>
  <conditionalFormatting sqref="Q8:Q25">
    <cfRule type="expression" dxfId="20" priority="74">
      <formula>Q8&lt;=10</formula>
    </cfRule>
  </conditionalFormatting>
  <conditionalFormatting sqref="S8:S25 AE8:AE25 AQ8:AQ25 BC8:BC25">
    <cfRule type="containsText" dxfId="19" priority="70" operator="containsText" text="セ">
      <formula>NOT(ISERROR(SEARCH("セ",S8)))</formula>
    </cfRule>
    <cfRule type="containsText" dxfId="18" priority="71" operator="containsText" text="牝">
      <formula>NOT(ISERROR(SEARCH("牝",S8)))</formula>
    </cfRule>
  </conditionalFormatting>
  <conditionalFormatting sqref="AB8:AB25">
    <cfRule type="cellIs" dxfId="17" priority="16" operator="equal">
      <formula>12</formula>
    </cfRule>
    <cfRule type="cellIs" dxfId="16" priority="19" operator="equal">
      <formula>2</formula>
    </cfRule>
    <cfRule type="cellIs" dxfId="15" priority="20" operator="equal">
      <formula>1</formula>
    </cfRule>
    <cfRule type="cellIs" dxfId="14" priority="17" operator="equal">
      <formula>8</formula>
    </cfRule>
    <cfRule type="cellIs" dxfId="13" priority="18" operator="equal">
      <formula>7</formula>
    </cfRule>
  </conditionalFormatting>
  <conditionalFormatting sqref="AC8:AC25">
    <cfRule type="expression" dxfId="12" priority="77">
      <formula>AC8&lt;=10</formula>
    </cfRule>
  </conditionalFormatting>
  <conditionalFormatting sqref="AN8:AN25">
    <cfRule type="cellIs" dxfId="11" priority="11" operator="equal">
      <formula>12</formula>
    </cfRule>
    <cfRule type="cellIs" dxfId="10" priority="12" operator="equal">
      <formula>8</formula>
    </cfRule>
    <cfRule type="cellIs" dxfId="9" priority="13" operator="equal">
      <formula>7</formula>
    </cfRule>
    <cfRule type="cellIs" dxfId="8" priority="14" operator="equal">
      <formula>2</formula>
    </cfRule>
    <cfRule type="cellIs" dxfId="7" priority="15" operator="equal">
      <formula>1</formula>
    </cfRule>
  </conditionalFormatting>
  <conditionalFormatting sqref="AO8:AO25">
    <cfRule type="expression" dxfId="6" priority="73">
      <formula>AO8&lt;=10</formula>
    </cfRule>
  </conditionalFormatting>
  <conditionalFormatting sqref="AZ8:AZ25">
    <cfRule type="cellIs" dxfId="5" priority="6" operator="equal">
      <formula>12</formula>
    </cfRule>
    <cfRule type="cellIs" dxfId="4" priority="7" operator="equal">
      <formula>8</formula>
    </cfRule>
    <cfRule type="cellIs" dxfId="3" priority="8" operator="equal">
      <formula>7</formula>
    </cfRule>
    <cfRule type="cellIs" dxfId="2" priority="9" operator="equal">
      <formula>2</formula>
    </cfRule>
    <cfRule type="cellIs" dxfId="1" priority="10" operator="equal">
      <formula>1</formula>
    </cfRule>
  </conditionalFormatting>
  <conditionalFormatting sqref="BA8:BA25">
    <cfRule type="expression" dxfId="0" priority="75">
      <formula>BA8&lt;=10</formula>
    </cfRule>
  </conditionalFormatting>
  <pageMargins left="0.18" right="0.19685039370078741" top="0.38" bottom="0.19685039370078741" header="0.44" footer="0.2"/>
  <pageSetup paperSize="9" scale="38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7CD56-73DA-49F9-BF55-DF51459D0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WIN５ (馬名) (1222_1)</vt:lpstr>
      <vt:lpstr>オッズデータ入力</vt:lpstr>
      <vt:lpstr>オッズデータ入力!Print_Area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入江満</dc:creator>
  <cp:lastModifiedBy>健太 入江</cp:lastModifiedBy>
  <cp:lastPrinted>2026-03-21T06:37:35Z</cp:lastPrinted>
  <dcterms:created xsi:type="dcterms:W3CDTF">2015-06-05T18:19:34Z</dcterms:created>
  <dcterms:modified xsi:type="dcterms:W3CDTF">2026-07-14T00:59:33Z</dcterms:modified>
</cp:coreProperties>
</file>