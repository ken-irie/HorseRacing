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3" autoFilterDateGrouping="1"/>
  </bookViews>
  <sheets>
    <sheet xmlns:r="http://schemas.openxmlformats.org/officeDocument/2006/relationships" name="WIN５ (馬名) (1222_1)" sheetId="1" state="hidden" r:id="rId1"/>
    <sheet xmlns:r="http://schemas.openxmlformats.org/officeDocument/2006/relationships" name="オッズデータ入力" sheetId="2" state="visible" r:id="rId2"/>
    <sheet xmlns:r="http://schemas.openxmlformats.org/officeDocument/2006/relationships" name="2回" sheetId="3" state="visible" r:id="rId3"/>
    <sheet xmlns:r="http://schemas.openxmlformats.org/officeDocument/2006/relationships" name="3回" sheetId="4" state="visible" r:id="rId4"/>
    <sheet xmlns:r="http://schemas.openxmlformats.org/officeDocument/2006/relationships" name="127812" sheetId="5" state="visible" r:id="rId5"/>
    <sheet xmlns:r="http://schemas.openxmlformats.org/officeDocument/2006/relationships" name="WIN1  3連単フォーメーション" sheetId="6" state="visible" r:id="rId6"/>
    <sheet xmlns:r="http://schemas.openxmlformats.org/officeDocument/2006/relationships" name="WIN2 3連単フォーメーション " sheetId="7" state="visible" r:id="rId7"/>
    <sheet xmlns:r="http://schemas.openxmlformats.org/officeDocument/2006/relationships" name="WIN３ 3連単フォーメーション " sheetId="8" state="visible" r:id="rId8"/>
    <sheet xmlns:r="http://schemas.openxmlformats.org/officeDocument/2006/relationships" name="WIN４ 3連単フォーメーション " sheetId="9" state="visible" r:id="rId9"/>
    <sheet xmlns:r="http://schemas.openxmlformats.org/officeDocument/2006/relationships" name="WIN５ 3連単フォーメーション " sheetId="10" state="visible" r:id="rId10"/>
    <sheet xmlns:r="http://schemas.openxmlformats.org/officeDocument/2006/relationships" name="Sheet1" sheetId="11" state="visible" r:id="rId11"/>
  </sheets>
  <definedNames>
    <definedName name="_xlnm._FilterDatabase" localSheetId="1" hidden="1">'オッズデータ入力'!$Z$7:$AG$7</definedName>
    <definedName name="_xlnm.Print_Area" localSheetId="1">'オッズデータ入力'!$A$1:$BI$37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#&quot;人&quot;&quot;気&quot;"/>
    <numFmt numFmtId="166" formatCode="#,###&quot;票&quot;"/>
  </numFmts>
  <fonts count="53">
    <font>
      <name val="Yu Gothic"/>
      <family val="2"/>
      <color theme="1"/>
      <sz val="11"/>
      <scheme val="minor"/>
    </font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charset val="128"/>
      <family val="3"/>
      <b val="1"/>
      <color theme="1"/>
      <sz val="11"/>
      <scheme val="minor"/>
    </font>
    <font>
      <name val="Yu Gothic"/>
      <charset val="128"/>
      <family val="3"/>
      <b val="1"/>
      <color theme="1"/>
      <sz val="14"/>
      <scheme val="minor"/>
    </font>
    <font>
      <name val="Yu Gothic"/>
      <charset val="128"/>
      <family val="3"/>
      <sz val="11"/>
      <scheme val="minor"/>
    </font>
    <font>
      <name val="Yu Gothic"/>
      <charset val="128"/>
      <family val="3"/>
      <color rgb="FFFF0000"/>
      <sz val="11"/>
      <scheme val="minor"/>
    </font>
    <font>
      <name val="Yu Gothic"/>
      <charset val="128"/>
      <family val="3"/>
      <b val="1"/>
      <sz val="11"/>
      <scheme val="minor"/>
    </font>
    <font>
      <name val="ＭＳ ゴシック"/>
      <charset val="128"/>
      <family val="3"/>
      <b val="1"/>
      <sz val="11"/>
    </font>
    <font>
      <name val="Yu Gothic"/>
      <charset val="128"/>
      <family val="3"/>
      <sz val="18"/>
      <scheme val="minor"/>
    </font>
    <font>
      <name val="Yu Gothic"/>
      <family val="2"/>
      <sz val="11"/>
      <scheme val="minor"/>
    </font>
    <font>
      <name val="Yu Gothic"/>
      <family val="2"/>
      <b val="1"/>
      <sz val="11"/>
      <scheme val="minor"/>
    </font>
    <font>
      <name val="Yu Gothic"/>
      <family val="2"/>
      <sz val="14"/>
      <scheme val="minor"/>
    </font>
    <font>
      <name val="Yu Gothic"/>
      <charset val="128"/>
      <family val="3"/>
      <b val="1"/>
      <sz val="14"/>
      <scheme val="minor"/>
    </font>
    <font>
      <name val="Yu Gothic"/>
      <charset val="128"/>
      <family val="3"/>
      <sz val="14"/>
      <scheme val="minor"/>
    </font>
    <font>
      <name val="ＭＳ ゴシック"/>
      <charset val="128"/>
      <family val="3"/>
      <sz val="11"/>
    </font>
    <font>
      <name val="Yu Gothic"/>
      <charset val="128"/>
      <family val="3"/>
      <b val="1"/>
      <color rgb="FFFF0000"/>
      <sz val="11"/>
      <scheme val="minor"/>
    </font>
    <font>
      <name val="ＭＳ ゴシック"/>
      <charset val="128"/>
      <family val="3"/>
      <color rgb="FFFF0000"/>
      <sz val="11"/>
    </font>
    <font>
      <name val="ＭＳ Ｐ明朝"/>
      <charset val="128"/>
      <family val="1"/>
      <sz val="14"/>
    </font>
    <font>
      <name val="ＭＳ Ｐ明朝"/>
      <charset val="128"/>
      <family val="1"/>
      <sz val="11"/>
    </font>
    <font>
      <name val="ＭＳ ゴシック"/>
      <charset val="128"/>
      <family val="3"/>
      <b val="1"/>
      <i val="1"/>
      <sz val="11"/>
    </font>
    <font>
      <name val="ＭＳ ゴシック"/>
      <charset val="128"/>
      <family val="3"/>
      <b val="1"/>
      <i val="1"/>
      <color theme="1"/>
      <sz val="11"/>
    </font>
    <font>
      <name val="ＭＳ Ｐゴシック"/>
      <charset val="128"/>
      <family val="3"/>
      <b val="1"/>
      <sz val="16"/>
    </font>
    <font>
      <name val="Yu Gothic"/>
      <charset val="128"/>
      <family val="3"/>
      <b val="1"/>
      <sz val="18"/>
      <scheme val="minor"/>
    </font>
    <font>
      <name val="ＭＳ Ｐゴシック"/>
      <charset val="128"/>
      <family val="3"/>
      <b val="1"/>
      <color rgb="FFFF0000"/>
      <sz val="16"/>
    </font>
    <font>
      <name val="ＭＳ ゴシック"/>
      <charset val="128"/>
      <family val="3"/>
      <sz val="14"/>
    </font>
    <font>
      <name val="ＭＳ ゴシック"/>
      <charset val="128"/>
      <family val="3"/>
      <b val="1"/>
      <sz val="14"/>
    </font>
    <font>
      <name val="ＭＳ Ｐゴシック"/>
      <charset val="128"/>
      <family val="3"/>
      <b val="1"/>
      <sz val="12"/>
    </font>
    <font>
      <name val="Yu Gothic"/>
      <charset val="128"/>
      <family val="3"/>
      <sz val="12"/>
      <scheme val="minor"/>
    </font>
    <font>
      <name val="Yu Gothic"/>
      <charset val="128"/>
      <family val="3"/>
      <color rgb="FF0070C0"/>
      <sz val="11"/>
      <scheme val="minor"/>
    </font>
    <font>
      <name val="Yu Gothic"/>
      <charset val="128"/>
      <family val="3"/>
      <b val="1"/>
      <sz val="16"/>
      <scheme val="minor"/>
    </font>
    <font>
      <name val="Yu Gothic"/>
      <family val="2"/>
      <color theme="1"/>
      <sz val="20"/>
      <scheme val="minor"/>
    </font>
    <font>
      <name val="Yu Gothic"/>
      <charset val="128"/>
      <family val="3"/>
      <color theme="1"/>
      <sz val="20"/>
      <scheme val="minor"/>
    </font>
    <font>
      <name val="Yu Gothic"/>
      <charset val="128"/>
      <family val="3"/>
      <b val="1"/>
      <i val="1"/>
      <color theme="1"/>
      <sz val="20"/>
      <scheme val="minor"/>
    </font>
    <font>
      <name val="Yu Gothic"/>
      <charset val="128"/>
      <family val="3"/>
      <b val="1"/>
      <color theme="1"/>
      <sz val="26"/>
      <scheme val="minor"/>
    </font>
    <font>
      <name val="Yu Gothic"/>
      <charset val="128"/>
      <family val="3"/>
      <b val="1"/>
      <color theme="1"/>
      <sz val="22"/>
      <scheme val="minor"/>
    </font>
    <font>
      <name val="Yu Gothic"/>
      <charset val="128"/>
      <family val="3"/>
      <b val="1"/>
      <sz val="20"/>
      <scheme val="minor"/>
    </font>
    <font>
      <name val="Segoe UI Symbol"/>
      <family val="3"/>
      <b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16"/>
    </font>
    <font>
      <name val="Yu Gothic"/>
      <charset val="128"/>
      <family val="3"/>
      <b val="1"/>
      <sz val="24"/>
      <scheme val="minor"/>
    </font>
    <font>
      <name val="Yu Gothic"/>
      <family val="2"/>
      <color theme="1"/>
      <sz val="26"/>
      <scheme val="minor"/>
    </font>
    <font>
      <name val="Yu Gothic"/>
      <family val="2"/>
      <sz val="18"/>
      <scheme val="minor"/>
    </font>
    <font>
      <name val="Yu Gothic"/>
      <charset val="128"/>
      <family val="3"/>
      <b val="1"/>
      <i val="1"/>
      <sz val="14"/>
      <scheme val="minor"/>
    </font>
    <font>
      <name val="Yu Gothic"/>
      <charset val="128"/>
      <family val="3"/>
      <b val="1"/>
      <color rgb="FFFF0000"/>
      <sz val="24"/>
      <scheme val="minor"/>
    </font>
    <font>
      <name val="ＭＳ ゴシック"/>
      <charset val="128"/>
      <family val="3"/>
      <b val="1"/>
      <sz val="20"/>
    </font>
    <font>
      <name val="Yu Gothic"/>
      <family val="2"/>
      <b val="1"/>
      <color theme="1"/>
      <sz val="11"/>
      <scheme val="minor"/>
    </font>
    <font>
      <name val="Yu Gothic"/>
      <charset val="128"/>
      <family val="3"/>
      <b val="1"/>
      <color theme="1"/>
      <sz val="6"/>
      <scheme val="minor"/>
    </font>
    <font>
      <name val="HG丸ｺﾞｼｯｸM-PRO"/>
      <charset val="128"/>
      <family val="3"/>
      <b val="1"/>
      <color theme="1"/>
      <sz val="14"/>
    </font>
    <font>
      <name val="Yu Gothic"/>
      <charset val="128"/>
      <family val="3"/>
      <color theme="1"/>
      <sz val="16"/>
      <scheme val="minor"/>
    </font>
    <font>
      <name val="Yu Gothic"/>
      <charset val="128"/>
      <family val="3"/>
      <b val="1"/>
      <color theme="1"/>
      <sz val="16"/>
      <scheme val="minor"/>
    </font>
    <font>
      <name val="Yu Gothic"/>
      <charset val="128"/>
      <family val="3"/>
      <b val="1"/>
      <color rgb="FFFF0000"/>
      <sz val="16"/>
      <scheme val="minor"/>
    </font>
    <font>
      <name val="ＭＳ ゴシック"/>
      <charset val="128"/>
      <family val="3"/>
      <b val="1"/>
      <color rgb="FFFF0000"/>
      <sz val="20"/>
    </font>
  </fonts>
  <fills count="11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n">
        <color theme="1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38" fontId="1" fillId="0" borderId="0" applyAlignment="1">
      <alignment vertical="center"/>
    </xf>
  </cellStyleXfs>
  <cellXfs count="5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shrinkToFit="1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5" fillId="0" borderId="0" applyAlignment="1" pivotButton="0" quotePrefix="0" xfId="0">
      <alignment shrinkToFit="1"/>
    </xf>
    <xf numFmtId="0" fontId="5" fillId="0" borderId="0" applyAlignment="1" pivotButton="0" quotePrefix="0" xfId="0">
      <alignment horizontal="center" shrinkToFit="1"/>
    </xf>
    <xf numFmtId="0" fontId="10" fillId="0" borderId="0" applyAlignment="1" pivotButton="0" quotePrefix="0" xfId="0">
      <alignment shrinkToFit="1"/>
    </xf>
    <xf numFmtId="0" fontId="7" fillId="0" borderId="38" applyAlignment="1" pivotButton="0" quotePrefix="0" xfId="0">
      <alignment horizontal="center" shrinkToFit="1"/>
    </xf>
    <xf numFmtId="0" fontId="7" fillId="0" borderId="9" applyAlignment="1" pivotButton="0" quotePrefix="0" xfId="0">
      <alignment horizontal="center" shrinkToFit="1"/>
    </xf>
    <xf numFmtId="0" fontId="7" fillId="0" borderId="12" applyAlignment="1" pivotButton="0" quotePrefix="0" xfId="0">
      <alignment horizontal="center" shrinkToFit="1"/>
    </xf>
    <xf numFmtId="0" fontId="7" fillId="0" borderId="0" applyAlignment="1" pivotButton="0" quotePrefix="0" xfId="0">
      <alignment horizontal="center" shrinkToFit="1"/>
    </xf>
    <xf numFmtId="0" fontId="7" fillId="0" borderId="0" applyAlignment="1" pivotButton="0" quotePrefix="0" xfId="0">
      <alignment shrinkToFit="1"/>
    </xf>
    <xf numFmtId="0" fontId="11" fillId="0" borderId="0" applyAlignment="1" pivotButton="0" quotePrefix="0" xfId="0">
      <alignment shrinkToFit="1"/>
    </xf>
    <xf numFmtId="0" fontId="7" fillId="0" borderId="8" applyAlignment="1" pivotButton="0" quotePrefix="0" xfId="0">
      <alignment horizontal="center" shrinkToFit="1"/>
    </xf>
    <xf numFmtId="0" fontId="7" fillId="0" borderId="11" applyAlignment="1" pivotButton="0" quotePrefix="0" xfId="0">
      <alignment horizontal="center" shrinkToFit="1"/>
    </xf>
    <xf numFmtId="0" fontId="8" fillId="0" borderId="5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center" shrinkToFit="1"/>
    </xf>
    <xf numFmtId="0" fontId="0" fillId="0" borderId="52" pivotButton="0" quotePrefix="0" xfId="0"/>
    <xf numFmtId="0" fontId="0" fillId="0" borderId="49" pivotButton="0" quotePrefix="0" xfId="0"/>
    <xf numFmtId="0" fontId="10" fillId="0" borderId="0" applyAlignment="1" pivotButton="0" quotePrefix="0" xfId="0">
      <alignment horizontal="center" shrinkToFit="1"/>
    </xf>
    <xf numFmtId="0" fontId="8" fillId="0" borderId="0" applyAlignment="1" pivotButton="0" quotePrefix="0" xfId="0">
      <alignment vertical="center" shrinkToFit="1"/>
    </xf>
    <xf numFmtId="0" fontId="7" fillId="0" borderId="24" applyAlignment="1" pivotButton="0" quotePrefix="0" xfId="0">
      <alignment horizontal="center" shrinkToFit="1"/>
    </xf>
    <xf numFmtId="0" fontId="13" fillId="0" borderId="0" applyAlignment="1" pivotButton="0" quotePrefix="0" xfId="0">
      <alignment horizontal="center" shrinkToFit="1"/>
    </xf>
    <xf numFmtId="0" fontId="13" fillId="0" borderId="0" applyAlignment="1" pivotButton="0" quotePrefix="0" xfId="0">
      <alignment shrinkToFit="1"/>
    </xf>
    <xf numFmtId="0" fontId="14" fillId="0" borderId="0" applyAlignment="1" pivotButton="0" quotePrefix="0" xfId="0">
      <alignment horizontal="center" shrinkToFit="1"/>
    </xf>
    <xf numFmtId="0" fontId="14" fillId="0" borderId="0" applyAlignment="1" pivotButton="0" quotePrefix="0" xfId="0">
      <alignment shrinkToFit="1"/>
    </xf>
    <xf numFmtId="0" fontId="8" fillId="0" borderId="1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shrinkToFit="1"/>
    </xf>
    <xf numFmtId="31" fontId="13" fillId="0" borderId="0" applyAlignment="1" pivotButton="0" quotePrefix="0" xfId="0">
      <alignment shrinkToFit="1"/>
    </xf>
    <xf numFmtId="31" fontId="13" fillId="0" borderId="20" applyAlignment="1" pivotButton="0" quotePrefix="0" xfId="0">
      <alignment shrinkToFit="1"/>
    </xf>
    <xf numFmtId="0" fontId="13" fillId="0" borderId="20" applyAlignment="1" pivotButton="0" quotePrefix="0" xfId="0">
      <alignment shrinkToFit="1"/>
    </xf>
    <xf numFmtId="0" fontId="16" fillId="0" borderId="8" applyAlignment="1" pivotButton="0" quotePrefix="0" xfId="0">
      <alignment horizontal="center" shrinkToFit="1"/>
    </xf>
    <xf numFmtId="0" fontId="16" fillId="0" borderId="39" applyAlignment="1" pivotButton="0" quotePrefix="0" xfId="0">
      <alignment horizontal="center" shrinkToFit="1"/>
    </xf>
    <xf numFmtId="0" fontId="15" fillId="0" borderId="14" applyAlignment="1" pivotButton="0" quotePrefix="0" xfId="0">
      <alignment horizontal="left" shrinkToFit="1"/>
    </xf>
    <xf numFmtId="0" fontId="15" fillId="0" borderId="10" applyAlignment="1" pivotButton="0" quotePrefix="0" xfId="0">
      <alignment horizontal="left" shrinkToFit="1"/>
    </xf>
    <xf numFmtId="0" fontId="15" fillId="0" borderId="13" applyAlignment="1" pivotButton="0" quotePrefix="0" xfId="0">
      <alignment horizontal="left" shrinkToFit="1"/>
    </xf>
    <xf numFmtId="0" fontId="15" fillId="0" borderId="38" applyAlignment="1" pivotButton="0" quotePrefix="0" xfId="0">
      <alignment horizontal="center" shrinkToFit="1"/>
    </xf>
    <xf numFmtId="0" fontId="15" fillId="0" borderId="9" applyAlignment="1" pivotButton="0" quotePrefix="0" xfId="0">
      <alignment horizontal="center" shrinkToFit="1"/>
    </xf>
    <xf numFmtId="0" fontId="17" fillId="0" borderId="9" applyAlignment="1" pivotButton="0" quotePrefix="0" xfId="0">
      <alignment horizontal="center" shrinkToFit="1"/>
    </xf>
    <xf numFmtId="0" fontId="15" fillId="0" borderId="12" applyAlignment="1" pivotButton="0" quotePrefix="0" xfId="0">
      <alignment horizontal="center" shrinkToFit="1"/>
    </xf>
    <xf numFmtId="0" fontId="15" fillId="0" borderId="14" applyAlignment="1" pivotButton="0" quotePrefix="0" xfId="0">
      <alignment horizontal="center" shrinkToFit="1"/>
    </xf>
    <xf numFmtId="0" fontId="15" fillId="0" borderId="10" applyAlignment="1" pivotButton="0" quotePrefix="0" xfId="0">
      <alignment horizontal="center" shrinkToFit="1"/>
    </xf>
    <xf numFmtId="0" fontId="17" fillId="0" borderId="10" applyAlignment="1" pivotButton="0" quotePrefix="0" xfId="0">
      <alignment horizontal="center" shrinkToFit="1"/>
    </xf>
    <xf numFmtId="0" fontId="15" fillId="0" borderId="13" applyAlignment="1" pivotButton="0" quotePrefix="0" xfId="0">
      <alignment horizontal="center" shrinkToFit="1"/>
    </xf>
    <xf numFmtId="0" fontId="9" fillId="0" borderId="0" applyAlignment="1" pivotButton="0" quotePrefix="0" xfId="0">
      <alignment horizontal="center" shrinkToFit="1"/>
    </xf>
    <xf numFmtId="31" fontId="13" fillId="0" borderId="1" applyAlignment="1" pivotButton="0" quotePrefix="0" xfId="0">
      <alignment horizontal="center" vertical="center" shrinkToFit="1"/>
    </xf>
    <xf numFmtId="0" fontId="19" fillId="0" borderId="5" applyAlignment="1" pivotButton="0" quotePrefix="0" xfId="0">
      <alignment horizontal="center" vertical="center" shrinkToFit="1"/>
    </xf>
    <xf numFmtId="0" fontId="18" fillId="0" borderId="14" applyAlignment="1" pivotButton="0" quotePrefix="0" xfId="0">
      <alignment horizontal="center" shrinkToFit="1"/>
    </xf>
    <xf numFmtId="0" fontId="18" fillId="0" borderId="36" applyAlignment="1" pivotButton="0" quotePrefix="0" xfId="0">
      <alignment horizontal="center" shrinkToFit="1"/>
    </xf>
    <xf numFmtId="0" fontId="18" fillId="0" borderId="13" applyAlignment="1" pivotButton="0" quotePrefix="0" xfId="0">
      <alignment horizontal="center" shrinkToFit="1"/>
    </xf>
    <xf numFmtId="0" fontId="20" fillId="0" borderId="22" applyAlignment="1" pivotButton="0" quotePrefix="0" xfId="0">
      <alignment horizontal="center" shrinkToFit="1"/>
    </xf>
    <xf numFmtId="0" fontId="20" fillId="0" borderId="2" applyAlignment="1" pivotButton="0" quotePrefix="0" xfId="0">
      <alignment horizontal="center" shrinkToFit="1"/>
    </xf>
    <xf numFmtId="0" fontId="20" fillId="0" borderId="7" applyAlignment="1" pivotButton="0" quotePrefix="0" xfId="0">
      <alignment horizontal="center" shrinkToFit="1"/>
    </xf>
    <xf numFmtId="0" fontId="21" fillId="0" borderId="7" pivotButton="0" quotePrefix="0" xfId="0"/>
    <xf numFmtId="0" fontId="20" fillId="0" borderId="6" applyAlignment="1" pivotButton="0" quotePrefix="0" xfId="0">
      <alignment horizontal="center" shrinkToFit="1"/>
    </xf>
    <xf numFmtId="0" fontId="21" fillId="0" borderId="7" applyAlignment="1" pivotButton="0" quotePrefix="0" xfId="0">
      <alignment horizontal="center"/>
    </xf>
    <xf numFmtId="0" fontId="7" fillId="0" borderId="0" applyAlignment="1" pivotButton="0" quotePrefix="0" xfId="0">
      <alignment vertical="center" shrinkToFit="1"/>
    </xf>
    <xf numFmtId="0" fontId="22" fillId="0" borderId="0" applyAlignment="1" pivotButton="0" quotePrefix="0" xfId="0">
      <alignment horizontal="center" shrinkToFit="1"/>
    </xf>
    <xf numFmtId="0" fontId="6" fillId="0" borderId="0" applyAlignment="1" pivotButton="0" quotePrefix="0" xfId="0">
      <alignment shrinkToFit="1"/>
    </xf>
    <xf numFmtId="0" fontId="25" fillId="0" borderId="33" applyAlignment="1" pivotButton="0" quotePrefix="0" xfId="0">
      <alignment horizontal="left" shrinkToFit="1"/>
    </xf>
    <xf numFmtId="0" fontId="14" fillId="0" borderId="33" applyAlignment="1" pivotButton="0" quotePrefix="0" xfId="0">
      <alignment horizontal="left" shrinkToFit="1"/>
    </xf>
    <xf numFmtId="164" fontId="7" fillId="0" borderId="4" applyAlignment="1" pivotButton="0" quotePrefix="0" xfId="0">
      <alignment shrinkToFit="1"/>
    </xf>
    <xf numFmtId="0" fontId="5" fillId="0" borderId="5" applyAlignment="1" pivotButton="0" quotePrefix="0" xfId="0">
      <alignment horizontal="center" shrinkToFit="1"/>
    </xf>
    <xf numFmtId="0" fontId="5" fillId="0" borderId="5" applyAlignment="1" pivotButton="0" quotePrefix="0" xfId="0">
      <alignment shrinkToFit="1"/>
    </xf>
    <xf numFmtId="164" fontId="7" fillId="0" borderId="3" applyAlignment="1" pivotButton="0" quotePrefix="0" xfId="0">
      <alignment horizontal="center" shrinkToFit="1"/>
    </xf>
    <xf numFmtId="0" fontId="5" fillId="0" borderId="4" applyAlignment="1" pivotButton="0" quotePrefix="0" xfId="0">
      <alignment shrinkToFit="1"/>
    </xf>
    <xf numFmtId="0" fontId="27" fillId="0" borderId="0" applyAlignment="1" pivotButton="0" quotePrefix="0" xfId="0">
      <alignment horizontal="center" shrinkToFit="1"/>
    </xf>
    <xf numFmtId="0" fontId="28" fillId="0" borderId="4" applyAlignment="1" pivotButton="0" quotePrefix="0" xfId="0">
      <alignment shrinkToFit="1"/>
    </xf>
    <xf numFmtId="0" fontId="29" fillId="0" borderId="0" applyAlignment="1" pivotButton="0" quotePrefix="0" xfId="0">
      <alignment shrinkToFit="1"/>
    </xf>
    <xf numFmtId="0" fontId="23" fillId="0" borderId="0" applyAlignment="1" pivotButton="0" quotePrefix="0" xfId="0">
      <alignment shrinkToFit="1"/>
    </xf>
    <xf numFmtId="0" fontId="22" fillId="8" borderId="37" applyAlignment="1" pivotButton="0" quotePrefix="0" xfId="0">
      <alignment horizontal="center" vertical="center" shrinkToFit="1"/>
    </xf>
    <xf numFmtId="0" fontId="27" fillId="0" borderId="60" applyAlignment="1" pivotButton="0" quotePrefix="0" xfId="0">
      <alignment horizontal="center" textRotation="255" shrinkToFit="1"/>
    </xf>
    <xf numFmtId="0" fontId="27" fillId="0" borderId="61" applyAlignment="1" pivotButton="0" quotePrefix="0" xfId="0">
      <alignment horizontal="center" shrinkToFit="1"/>
    </xf>
    <xf numFmtId="0" fontId="13" fillId="0" borderId="66" applyAlignment="1" pivotButton="0" quotePrefix="0" xfId="0">
      <alignment horizontal="center" shrinkToFit="1"/>
    </xf>
    <xf numFmtId="0" fontId="13" fillId="0" borderId="67" applyAlignment="1" pivotButton="0" quotePrefix="0" xfId="0">
      <alignment horizontal="center" shrinkToFit="1"/>
    </xf>
    <xf numFmtId="0" fontId="13" fillId="0" borderId="68" applyAlignment="1" pivotButton="0" quotePrefix="0" xfId="0">
      <alignment horizontal="center" shrinkToFit="1"/>
    </xf>
    <xf numFmtId="0" fontId="14" fillId="0" borderId="64" applyAlignment="1" pivotButton="0" quotePrefix="0" xfId="0">
      <alignment horizontal="left" shrinkToFit="1"/>
    </xf>
    <xf numFmtId="0" fontId="0" fillId="0" borderId="50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53" pivotButton="0" quotePrefix="0" xfId="0"/>
    <xf numFmtId="0" fontId="8" fillId="0" borderId="26" applyAlignment="1" pivotButton="0" quotePrefix="0" xfId="0">
      <alignment horizontal="center" shrinkToFit="1"/>
    </xf>
    <xf numFmtId="0" fontId="8" fillId="0" borderId="74" applyAlignment="1" pivotButton="0" quotePrefix="0" xfId="0">
      <alignment horizontal="center" shrinkToFit="1"/>
    </xf>
    <xf numFmtId="0" fontId="8" fillId="0" borderId="32" applyAlignment="1" pivotButton="0" quotePrefix="0" xfId="0">
      <alignment horizontal="center" shrinkToFit="1"/>
    </xf>
    <xf numFmtId="0" fontId="8" fillId="0" borderId="75" applyAlignment="1" pivotButton="0" quotePrefix="0" xfId="0">
      <alignment horizontal="center" shrinkToFit="1"/>
    </xf>
    <xf numFmtId="0" fontId="8" fillId="0" borderId="26" applyAlignment="1" pivotButton="0" quotePrefix="0" xfId="0">
      <alignment horizontal="center" wrapText="1" shrinkToFit="1"/>
    </xf>
    <xf numFmtId="0" fontId="8" fillId="0" borderId="74" applyAlignment="1" pivotButton="0" quotePrefix="0" xfId="0">
      <alignment horizontal="center" wrapText="1" shrinkToFit="1"/>
    </xf>
    <xf numFmtId="0" fontId="8" fillId="0" borderId="29" applyAlignment="1" pivotButton="0" quotePrefix="0" xfId="0">
      <alignment horizontal="center" shrinkToFit="1"/>
    </xf>
    <xf numFmtId="0" fontId="8" fillId="0" borderId="76" applyAlignment="1" pivotButton="0" quotePrefix="0" xfId="0">
      <alignment horizontal="center" shrinkToFit="1"/>
    </xf>
    <xf numFmtId="0" fontId="8" fillId="0" borderId="29" applyAlignment="1" pivotButton="0" quotePrefix="0" xfId="0">
      <alignment horizontal="center" wrapText="1" shrinkToFit="1"/>
    </xf>
    <xf numFmtId="0" fontId="8" fillId="0" borderId="76" applyAlignment="1" pivotButton="0" quotePrefix="0" xfId="0">
      <alignment horizontal="center" wrapText="1" shrinkToFit="1"/>
    </xf>
    <xf numFmtId="0" fontId="7" fillId="0" borderId="32" applyAlignment="1" pivotButton="0" quotePrefix="0" xfId="0">
      <alignment horizontal="center" shrinkToFit="1"/>
    </xf>
    <xf numFmtId="0" fontId="7" fillId="0" borderId="75" applyAlignment="1" pivotButton="0" quotePrefix="0" xfId="0">
      <alignment horizontal="center" shrinkToFit="1"/>
    </xf>
    <xf numFmtId="0" fontId="7" fillId="0" borderId="63" applyAlignment="1" pivotButton="0" quotePrefix="0" xfId="0">
      <alignment horizontal="center" shrinkToFit="1"/>
    </xf>
    <xf numFmtId="0" fontId="7" fillId="0" borderId="77" applyAlignment="1" pivotButton="0" quotePrefix="0" xfId="0">
      <alignment horizontal="center" shrinkToFit="1"/>
    </xf>
    <xf numFmtId="0" fontId="8" fillId="0" borderId="32" applyAlignment="1" pivotButton="0" quotePrefix="0" xfId="0">
      <alignment horizontal="center" wrapText="1" shrinkToFit="1"/>
    </xf>
    <xf numFmtId="0" fontId="8" fillId="0" borderId="75" applyAlignment="1" pivotButton="0" quotePrefix="0" xfId="0">
      <alignment horizontal="center" wrapText="1" shrinkToFit="1"/>
    </xf>
    <xf numFmtId="0" fontId="7" fillId="0" borderId="26" applyAlignment="1" pivotButton="0" quotePrefix="0" xfId="0">
      <alignment horizontal="center" shrinkToFit="1"/>
    </xf>
    <xf numFmtId="0" fontId="8" fillId="0" borderId="63" applyAlignment="1" pivotButton="0" quotePrefix="0" xfId="0">
      <alignment horizontal="center" shrinkToFit="1"/>
    </xf>
    <xf numFmtId="0" fontId="7" fillId="0" borderId="74" applyAlignment="1" pivotButton="0" quotePrefix="0" xfId="0">
      <alignment horizontal="center" shrinkToFit="1"/>
    </xf>
    <xf numFmtId="0" fontId="8" fillId="0" borderId="77" applyAlignment="1" pivotButton="0" quotePrefix="0" xfId="0">
      <alignment horizontal="center" shrinkToFit="1"/>
    </xf>
    <xf numFmtId="0" fontId="25" fillId="0" borderId="64" applyAlignment="1" pivotButton="0" quotePrefix="0" xfId="0">
      <alignment horizontal="left" shrinkToFit="1"/>
    </xf>
    <xf numFmtId="0" fontId="14" fillId="0" borderId="33" applyAlignment="1" pivotButton="0" quotePrefix="0" xfId="0">
      <alignment shrinkToFit="1"/>
    </xf>
    <xf numFmtId="0" fontId="8" fillId="0" borderId="63" applyAlignment="1" pivotButton="0" quotePrefix="0" xfId="0">
      <alignment horizontal="center" wrapText="1" shrinkToFit="1"/>
    </xf>
    <xf numFmtId="0" fontId="8" fillId="0" borderId="77" applyAlignment="1" pivotButton="0" quotePrefix="0" xfId="0">
      <alignment horizontal="center" wrapText="1" shrinkToFit="1"/>
    </xf>
    <xf numFmtId="38" fontId="0" fillId="0" borderId="0" applyAlignment="1" pivotButton="0" quotePrefix="0" xfId="1">
      <alignment shrinkToFit="1"/>
    </xf>
    <xf numFmtId="14" fontId="0" fillId="0" borderId="7" applyAlignment="1" pivotButton="0" quotePrefix="0" xfId="1">
      <alignment shrinkToFit="1"/>
    </xf>
    <xf numFmtId="0" fontId="32" fillId="0" borderId="16" applyAlignment="1" pivotButton="0" quotePrefix="0" xfId="0">
      <alignment horizontal="center" shrinkToFit="1"/>
    </xf>
    <xf numFmtId="0" fontId="32" fillId="0" borderId="17" applyAlignment="1" pivotButton="0" quotePrefix="0" xfId="0">
      <alignment horizontal="center" shrinkToFit="1"/>
    </xf>
    <xf numFmtId="14" fontId="0" fillId="0" borderId="7" applyAlignment="1" pivotButton="0" quotePrefix="0" xfId="1">
      <alignment shrinkToFit="1"/>
    </xf>
    <xf numFmtId="0" fontId="31" fillId="0" borderId="0" applyAlignment="1" pivotButton="0" quotePrefix="0" xfId="0">
      <alignment shrinkToFit="1"/>
    </xf>
    <xf numFmtId="0" fontId="32" fillId="0" borderId="0" applyAlignment="1" pivotButton="0" quotePrefix="0" xfId="0">
      <alignment shrinkToFit="1"/>
    </xf>
    <xf numFmtId="0" fontId="4" fillId="0" borderId="0" applyAlignment="1" pivotButton="0" quotePrefix="0" xfId="1">
      <alignment horizontal="center" shrinkToFit="1"/>
    </xf>
    <xf numFmtId="0" fontId="3" fillId="0" borderId="0" applyAlignment="1" pivotButton="0" quotePrefix="0" xfId="0">
      <alignment horizontal="center"/>
    </xf>
    <xf numFmtId="22" fontId="13" fillId="0" borderId="0" applyAlignment="1" pivotButton="0" quotePrefix="0" xfId="0">
      <alignment horizontal="center" shrinkToFit="1"/>
    </xf>
    <xf numFmtId="0" fontId="35" fillId="0" borderId="0" applyAlignment="1" pivotButton="0" quotePrefix="0" xfId="1">
      <alignment horizontal="center" shrinkToFit="1"/>
    </xf>
    <xf numFmtId="0" fontId="30" fillId="10" borderId="0" applyAlignment="1" pivotButton="0" quotePrefix="0" xfId="0">
      <alignment horizontal="left" vertical="center" shrinkToFit="1"/>
    </xf>
    <xf numFmtId="0" fontId="26" fillId="0" borderId="25" applyAlignment="1" pivotButton="0" quotePrefix="0" xfId="0">
      <alignment horizontal="center" shrinkToFit="1"/>
    </xf>
    <xf numFmtId="0" fontId="26" fillId="0" borderId="26" applyAlignment="1" pivotButton="0" quotePrefix="0" xfId="0">
      <alignment horizontal="center" shrinkToFit="1"/>
    </xf>
    <xf numFmtId="0" fontId="26" fillId="0" borderId="31" applyAlignment="1" pivotButton="0" quotePrefix="0" xfId="0">
      <alignment horizontal="center" shrinkToFit="1"/>
    </xf>
    <xf numFmtId="0" fontId="26" fillId="0" borderId="32" applyAlignment="1" pivotButton="0" quotePrefix="0" xfId="0">
      <alignment horizontal="center" shrinkToFit="1"/>
    </xf>
    <xf numFmtId="0" fontId="26" fillId="0" borderId="28" applyAlignment="1" pivotButton="0" quotePrefix="0" xfId="0">
      <alignment horizontal="center" shrinkToFit="1"/>
    </xf>
    <xf numFmtId="0" fontId="26" fillId="0" borderId="29" applyAlignment="1" pivotButton="0" quotePrefix="0" xfId="0">
      <alignment horizontal="center" shrinkToFit="1"/>
    </xf>
    <xf numFmtId="0" fontId="13" fillId="0" borderId="31" applyAlignment="1" pivotButton="0" quotePrefix="0" xfId="0">
      <alignment horizontal="center" shrinkToFit="1"/>
    </xf>
    <xf numFmtId="0" fontId="13" fillId="0" borderId="32" applyAlignment="1" pivotButton="0" quotePrefix="0" xfId="0">
      <alignment horizontal="center" shrinkToFit="1"/>
    </xf>
    <xf numFmtId="0" fontId="13" fillId="0" borderId="62" applyAlignment="1" pivotButton="0" quotePrefix="0" xfId="0">
      <alignment horizontal="center" shrinkToFit="1"/>
    </xf>
    <xf numFmtId="0" fontId="13" fillId="0" borderId="63" applyAlignment="1" pivotButton="0" quotePrefix="0" xfId="0">
      <alignment horizontal="center" shrinkToFit="1"/>
    </xf>
    <xf numFmtId="0" fontId="13" fillId="0" borderId="25" applyAlignment="1" pivotButton="0" quotePrefix="0" xfId="0">
      <alignment horizontal="center" shrinkToFit="1"/>
    </xf>
    <xf numFmtId="0" fontId="13" fillId="0" borderId="26" applyAlignment="1" pivotButton="0" quotePrefix="0" xfId="0">
      <alignment horizontal="center" shrinkToFit="1"/>
    </xf>
    <xf numFmtId="0" fontId="37" fillId="0" borderId="32" applyAlignment="1" pivotButton="0" quotePrefix="0" xfId="0">
      <alignment horizontal="center" shrinkToFit="1"/>
    </xf>
    <xf numFmtId="0" fontId="26" fillId="0" borderId="62" applyAlignment="1" pivotButton="0" quotePrefix="0" xfId="0">
      <alignment horizontal="center" shrinkToFit="1"/>
    </xf>
    <xf numFmtId="0" fontId="26" fillId="0" borderId="63" applyAlignment="1" pivotButton="0" quotePrefix="0" xfId="0">
      <alignment horizontal="center" shrinkToFit="1"/>
    </xf>
    <xf numFmtId="0" fontId="38" fillId="0" borderId="26" applyAlignment="1" pivotButton="0" quotePrefix="0" xfId="0">
      <alignment horizontal="center" shrinkToFit="1"/>
    </xf>
    <xf numFmtId="0" fontId="37" fillId="0" borderId="26" applyAlignment="1" pivotButton="0" quotePrefix="0" xfId="0">
      <alignment horizontal="center" shrinkToFit="1"/>
    </xf>
    <xf numFmtId="0" fontId="38" fillId="0" borderId="29" applyAlignment="1" pivotButton="0" quotePrefix="0" xfId="0">
      <alignment horizontal="center" shrinkToFit="1"/>
    </xf>
    <xf numFmtId="0" fontId="25" fillId="0" borderId="27" applyAlignment="1" pivotButton="0" quotePrefix="0" xfId="0">
      <alignment horizontal="left" shrinkToFit="1"/>
    </xf>
    <xf numFmtId="0" fontId="25" fillId="0" borderId="30" applyAlignment="1" pivotButton="0" quotePrefix="0" xfId="0">
      <alignment shrinkToFit="1"/>
    </xf>
    <xf numFmtId="0" fontId="25" fillId="0" borderId="30" applyAlignment="1" pivotButton="0" quotePrefix="0" xfId="0">
      <alignment horizontal="left" shrinkToFit="1"/>
    </xf>
    <xf numFmtId="0" fontId="25" fillId="0" borderId="27" applyAlignment="1" pivotButton="0" quotePrefix="0" xfId="0">
      <alignment shrinkToFit="1"/>
    </xf>
    <xf numFmtId="0" fontId="25" fillId="0" borderId="33" applyAlignment="1" pivotButton="0" quotePrefix="0" xfId="0">
      <alignment shrinkToFit="1"/>
    </xf>
    <xf numFmtId="164" fontId="27" fillId="0" borderId="84" applyAlignment="1" pivotButton="0" quotePrefix="0" xfId="0">
      <alignment horizontal="center" shrinkToFit="1"/>
    </xf>
    <xf numFmtId="164" fontId="27" fillId="0" borderId="85" applyAlignment="1" pivotButton="0" quotePrefix="0" xfId="0">
      <alignment horizontal="center" shrinkToFit="1"/>
    </xf>
    <xf numFmtId="164" fontId="27" fillId="0" borderId="86" applyAlignment="1" pivotButton="0" quotePrefix="0" xfId="0">
      <alignment horizontal="center" shrinkToFit="1"/>
    </xf>
    <xf numFmtId="0" fontId="7" fillId="0" borderId="48" applyAlignment="1" pivotButton="0" quotePrefix="0" xfId="0">
      <alignment horizontal="center" vertical="center" shrinkToFit="1"/>
    </xf>
    <xf numFmtId="164" fontId="27" fillId="0" borderId="61" applyAlignment="1" pivotButton="0" quotePrefix="0" xfId="0">
      <alignment horizontal="center" shrinkToFit="1"/>
    </xf>
    <xf numFmtId="0" fontId="33" fillId="0" borderId="16" applyAlignment="1" pivotButton="0" quotePrefix="0" xfId="0">
      <alignment horizontal="center" shrinkToFit="1"/>
    </xf>
    <xf numFmtId="0" fontId="32" fillId="0" borderId="19" applyAlignment="1" pivotButton="0" quotePrefix="0" xfId="0">
      <alignment shrinkToFit="1"/>
    </xf>
    <xf numFmtId="0" fontId="32" fillId="0" borderId="19" applyAlignment="1" pivotButton="0" quotePrefix="0" xfId="0">
      <alignment horizontal="center" shrinkToFit="1"/>
    </xf>
    <xf numFmtId="0" fontId="32" fillId="0" borderId="16" applyAlignment="1" pivotButton="0" quotePrefix="0" xfId="0">
      <alignment shrinkToFit="1"/>
    </xf>
    <xf numFmtId="0" fontId="32" fillId="0" borderId="18" applyAlignment="1" pivotButton="0" quotePrefix="0" xfId="0">
      <alignment shrinkToFit="1"/>
    </xf>
    <xf numFmtId="0" fontId="32" fillId="0" borderId="18" applyAlignment="1" pivotButton="0" quotePrefix="0" xfId="0">
      <alignment horizontal="center" shrinkToFit="1"/>
    </xf>
    <xf numFmtId="0" fontId="31" fillId="0" borderId="15" applyAlignment="1" pivotButton="0" quotePrefix="0" xfId="0">
      <alignment horizontal="center" shrinkToFit="1"/>
    </xf>
    <xf numFmtId="0" fontId="31" fillId="0" borderId="16" applyAlignment="1" pivotButton="0" quotePrefix="0" xfId="0">
      <alignment horizontal="center" shrinkToFit="1"/>
    </xf>
    <xf numFmtId="165" fontId="32" fillId="0" borderId="16" applyAlignment="1" pivotButton="0" quotePrefix="0" xfId="0">
      <alignment shrinkToFit="1"/>
    </xf>
    <xf numFmtId="38" fontId="0" fillId="0" borderId="16" applyAlignment="1" pivotButton="0" quotePrefix="0" xfId="1">
      <alignment horizontal="right" shrinkToFit="1"/>
    </xf>
    <xf numFmtId="165" fontId="32" fillId="0" borderId="16" applyAlignment="1" pivotButton="0" quotePrefix="0" xfId="0">
      <alignment horizontal="right" shrinkToFit="1"/>
    </xf>
    <xf numFmtId="38" fontId="0" fillId="0" borderId="16" applyAlignment="1" pivotButton="0" quotePrefix="0" xfId="1">
      <alignment horizontal="right" shrinkToFit="1"/>
    </xf>
    <xf numFmtId="0" fontId="32" fillId="0" borderId="15" applyAlignment="1" pivotButton="0" quotePrefix="0" xfId="0">
      <alignment horizontal="center" vertical="center" shrinkToFit="1"/>
    </xf>
    <xf numFmtId="0" fontId="32" fillId="0" borderId="16" applyAlignment="1" pivotButton="0" quotePrefix="0" xfId="0">
      <alignment horizontal="center" vertical="center" shrinkToFit="1"/>
    </xf>
    <xf numFmtId="166" fontId="0" fillId="0" borderId="82" applyAlignment="1" pivotButton="0" quotePrefix="0" xfId="1">
      <alignment horizontal="right" shrinkToFit="1"/>
    </xf>
    <xf numFmtId="166" fontId="0" fillId="0" borderId="82" applyAlignment="1" pivotButton="0" quotePrefix="0" xfId="1">
      <alignment horizontal="right" shrinkToFit="1"/>
    </xf>
    <xf numFmtId="0" fontId="32" fillId="0" borderId="17" applyAlignment="1" pivotButton="0" quotePrefix="0" xfId="1">
      <alignment shrinkToFit="1"/>
    </xf>
    <xf numFmtId="0" fontId="32" fillId="0" borderId="17" applyAlignment="1" pivotButton="0" quotePrefix="0" xfId="1">
      <alignment horizontal="right" shrinkToFit="1"/>
    </xf>
    <xf numFmtId="0" fontId="40" fillId="0" borderId="0" applyAlignment="1" pivotButton="0" quotePrefix="0" xfId="0">
      <alignment shrinkToFit="1"/>
    </xf>
    <xf numFmtId="0" fontId="25" fillId="0" borderId="48" applyAlignment="1" pivotButton="0" quotePrefix="0" xfId="0">
      <alignment horizontal="left" shrinkToFit="1"/>
    </xf>
    <xf numFmtId="0" fontId="13" fillId="0" borderId="97" applyAlignment="1" pivotButton="0" quotePrefix="0" xfId="0">
      <alignment horizontal="center" shrinkToFit="1"/>
    </xf>
    <xf numFmtId="0" fontId="13" fillId="0" borderId="98" applyAlignment="1" pivotButton="0" quotePrefix="0" xfId="0">
      <alignment horizontal="center" shrinkToFit="1"/>
    </xf>
    <xf numFmtId="0" fontId="13" fillId="0" borderId="99" applyAlignment="1" pivotButton="0" quotePrefix="0" xfId="0">
      <alignment horizontal="center" shrinkToFit="1"/>
    </xf>
    <xf numFmtId="0" fontId="13" fillId="0" borderId="100" applyAlignment="1" pivotButton="0" quotePrefix="0" xfId="0">
      <alignment horizontal="center" shrinkToFit="1"/>
    </xf>
    <xf numFmtId="0" fontId="13" fillId="0" borderId="40" applyAlignment="1" pivotButton="0" quotePrefix="0" xfId="0">
      <alignment vertical="center" textRotation="255" shrinkToFit="1"/>
    </xf>
    <xf numFmtId="0" fontId="13" fillId="0" borderId="54" applyAlignment="1" pivotButton="0" quotePrefix="0" xfId="0">
      <alignment vertical="center" textRotation="255" shrinkToFit="1"/>
    </xf>
    <xf numFmtId="0" fontId="27" fillId="0" borderId="101" applyAlignment="1" pivotButton="0" quotePrefix="0" xfId="0">
      <alignment horizontal="center" textRotation="255" shrinkToFit="1"/>
    </xf>
    <xf numFmtId="0" fontId="25" fillId="0" borderId="34" applyAlignment="1" pivotButton="0" quotePrefix="0" xfId="0">
      <alignment horizontal="left" shrinkToFit="1"/>
    </xf>
    <xf numFmtId="0" fontId="25" fillId="0" borderId="34" applyAlignment="1" pivotButton="0" quotePrefix="0" xfId="0">
      <alignment shrinkToFit="1"/>
    </xf>
    <xf numFmtId="0" fontId="14" fillId="0" borderId="30" applyAlignment="1" pivotButton="0" quotePrefix="0" xfId="0">
      <alignment shrinkToFit="1"/>
    </xf>
    <xf numFmtId="0" fontId="25" fillId="0" borderId="48" applyAlignment="1" pivotButton="0" quotePrefix="0" xfId="0">
      <alignment shrinkToFit="1"/>
    </xf>
    <xf numFmtId="165" fontId="34" fillId="0" borderId="1" applyAlignment="1" pivotButton="0" quotePrefix="0" xfId="1">
      <alignment horizontal="right" shrinkToFit="1"/>
    </xf>
    <xf numFmtId="0" fontId="31" fillId="0" borderId="105" applyAlignment="1" pivotButton="0" quotePrefix="0" xfId="0">
      <alignment shrinkToFit="1"/>
    </xf>
    <xf numFmtId="0" fontId="31" fillId="0" borderId="106" applyAlignment="1" pivotButton="0" quotePrefix="0" xfId="0">
      <alignment shrinkToFit="1"/>
    </xf>
    <xf numFmtId="0" fontId="31" fillId="0" borderId="16" applyAlignment="1" pivotButton="0" quotePrefix="0" xfId="0">
      <alignment shrinkToFit="1"/>
    </xf>
    <xf numFmtId="0" fontId="31" fillId="0" borderId="94" applyAlignment="1" pivotButton="0" quotePrefix="0" xfId="0">
      <alignment shrinkToFit="1"/>
    </xf>
    <xf numFmtId="0" fontId="31" fillId="0" borderId="95" applyAlignment="1" pivotButton="0" quotePrefix="0" xfId="0">
      <alignment shrinkToFit="1"/>
    </xf>
    <xf numFmtId="0" fontId="31" fillId="0" borderId="96" applyAlignment="1" pivotButton="0" quotePrefix="0" xfId="0">
      <alignment shrinkToFit="1"/>
    </xf>
    <xf numFmtId="0" fontId="31" fillId="0" borderId="107" applyAlignment="1" pivotButton="0" quotePrefix="0" xfId="0">
      <alignment shrinkToFit="1"/>
    </xf>
    <xf numFmtId="0" fontId="31" fillId="0" borderId="83" applyAlignment="1" pivotButton="0" quotePrefix="0" xfId="0">
      <alignment shrinkToFit="1"/>
    </xf>
    <xf numFmtId="0" fontId="31" fillId="0" borderId="108" applyAlignment="1" pivotButton="0" quotePrefix="0" xfId="0">
      <alignment shrinkToFit="1"/>
    </xf>
    <xf numFmtId="0" fontId="32" fillId="0" borderId="0" applyAlignment="1" pivotButton="0" quotePrefix="0" xfId="0">
      <alignment horizontal="center" shrinkToFit="1"/>
    </xf>
    <xf numFmtId="0" fontId="41" fillId="0" borderId="109" applyAlignment="1" pivotButton="0" quotePrefix="0" xfId="0">
      <alignment horizontal="center" shrinkToFit="1"/>
    </xf>
    <xf numFmtId="0" fontId="41" fillId="0" borderId="110" applyAlignment="1" pivotButton="0" quotePrefix="0" xfId="0">
      <alignment horizontal="center" shrinkToFit="1"/>
    </xf>
    <xf numFmtId="0" fontId="41" fillId="0" borderId="111" applyAlignment="1" pivotButton="0" quotePrefix="0" xfId="0">
      <alignment horizontal="center" shrinkToFit="1"/>
    </xf>
    <xf numFmtId="0" fontId="34" fillId="0" borderId="1" applyAlignment="1" pivotButton="0" quotePrefix="0" xfId="1">
      <alignment horizontal="center" shrinkToFit="1"/>
    </xf>
    <xf numFmtId="0" fontId="9" fillId="0" borderId="0" applyAlignment="1" pivotButton="0" quotePrefix="0" xfId="0">
      <alignment shrinkToFit="1"/>
    </xf>
    <xf numFmtId="0" fontId="43" fillId="0" borderId="26" applyAlignment="1" pivotButton="0" quotePrefix="0" xfId="0">
      <alignment horizontal="center" shrinkToFit="1"/>
    </xf>
    <xf numFmtId="0" fontId="43" fillId="0" borderId="54" applyAlignment="1" pivotButton="0" quotePrefix="0" xfId="0">
      <alignment horizontal="center" shrinkToFit="1"/>
    </xf>
    <xf numFmtId="0" fontId="43" fillId="0" borderId="29" applyAlignment="1" pivotButton="0" quotePrefix="0" xfId="0">
      <alignment horizontal="center" shrinkToFit="1"/>
    </xf>
    <xf numFmtId="0" fontId="43" fillId="0" borderId="32" applyAlignment="1" pivotButton="0" quotePrefix="0" xfId="0">
      <alignment horizontal="center" shrinkToFit="1"/>
    </xf>
    <xf numFmtId="0" fontId="43" fillId="0" borderId="63" applyAlignment="1" pivotButton="0" quotePrefix="0" xfId="0">
      <alignment horizontal="center" shrinkToFit="1"/>
    </xf>
    <xf numFmtId="164" fontId="27" fillId="0" borderId="104" applyAlignment="1" pivotButton="0" quotePrefix="0" xfId="0">
      <alignment horizontal="center" shrinkToFit="1"/>
    </xf>
    <xf numFmtId="164" fontId="27" fillId="0" borderId="112" applyAlignment="1" pivotButton="0" quotePrefix="0" xfId="0">
      <alignment horizontal="center" shrinkToFit="1"/>
    </xf>
    <xf numFmtId="164" fontId="27" fillId="0" borderId="103" applyAlignment="1" pivotButton="0" quotePrefix="0" xfId="0">
      <alignment horizontal="center" shrinkToFit="1"/>
    </xf>
    <xf numFmtId="164" fontId="27" fillId="0" borderId="102" applyAlignment="1" pivotButton="0" quotePrefix="0" xfId="0">
      <alignment horizontal="center" shrinkToFit="1"/>
    </xf>
    <xf numFmtId="164" fontId="27" fillId="0" borderId="113" applyAlignment="1" pivotButton="0" quotePrefix="0" xfId="0">
      <alignment horizontal="center" shrinkToFit="1"/>
    </xf>
    <xf numFmtId="0" fontId="14" fillId="0" borderId="27" applyAlignment="1" pivotButton="0" quotePrefix="0" xfId="0">
      <alignment horizontal="left" shrinkToFit="1"/>
    </xf>
    <xf numFmtId="0" fontId="14" fillId="0" borderId="48" applyAlignment="1" pivotButton="0" quotePrefix="0" xfId="0">
      <alignment horizontal="left" shrinkToFit="1"/>
    </xf>
    <xf numFmtId="0" fontId="13" fillId="0" borderId="28" applyAlignment="1" pivotButton="0" quotePrefix="0" xfId="0">
      <alignment horizontal="center" shrinkToFit="1"/>
    </xf>
    <xf numFmtId="0" fontId="13" fillId="0" borderId="29" applyAlignment="1" pivotButton="0" quotePrefix="0" xfId="0">
      <alignment horizontal="center" shrinkToFit="1"/>
    </xf>
    <xf numFmtId="0" fontId="14" fillId="0" borderId="30" applyAlignment="1" pivotButton="0" quotePrefix="0" xfId="0">
      <alignment horizontal="left" shrinkToFit="1"/>
    </xf>
    <xf numFmtId="0" fontId="43" fillId="0" borderId="26" applyAlignment="1" pivotButton="0" quotePrefix="0" xfId="0">
      <alignment horizontal="center"/>
    </xf>
    <xf numFmtId="0" fontId="37" fillId="0" borderId="29" applyAlignment="1" pivotButton="0" quotePrefix="0" xfId="0">
      <alignment horizontal="center" shrinkToFit="1"/>
    </xf>
    <xf numFmtId="0" fontId="14" fillId="0" borderId="48" applyAlignment="1" pivotButton="0" quotePrefix="0" xfId="0">
      <alignment shrinkToFit="1"/>
    </xf>
    <xf numFmtId="0" fontId="38" fillId="0" borderId="32" applyAlignment="1" pivotButton="0" quotePrefix="0" xfId="0">
      <alignment horizontal="center" shrinkToFit="1"/>
    </xf>
    <xf numFmtId="0" fontId="14" fillId="0" borderId="27" applyAlignment="1" pivotButton="0" quotePrefix="0" xfId="0">
      <alignment shrinkToFit="1"/>
    </xf>
    <xf numFmtId="0" fontId="7" fillId="0" borderId="114" applyAlignment="1" pivotButton="0" quotePrefix="0" xfId="0">
      <alignment horizontal="center" vertical="center" shrinkToFit="1"/>
    </xf>
    <xf numFmtId="0" fontId="7" fillId="0" borderId="121" applyAlignment="1" pivotButton="0" quotePrefix="0" xfId="0">
      <alignment horizontal="center" vertical="center" shrinkToFit="1"/>
    </xf>
    <xf numFmtId="0" fontId="27" fillId="0" borderId="122" applyAlignment="1" pivotButton="0" quotePrefix="0" xfId="0">
      <alignment horizontal="center" vertical="center" shrinkToFit="1"/>
    </xf>
    <xf numFmtId="0" fontId="14" fillId="0" borderId="34" applyAlignment="1" pivotButton="0" quotePrefix="0" xfId="0">
      <alignment horizontal="left" shrinkToFit="1"/>
    </xf>
    <xf numFmtId="0" fontId="0" fillId="0" borderId="49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0" fontId="0" fillId="0" borderId="81" applyAlignment="1" pivotButton="0" quotePrefix="0" xfId="0">
      <alignment horizontal="center"/>
    </xf>
    <xf numFmtId="0" fontId="0" fillId="0" borderId="123" applyAlignment="1" pivotButton="0" quotePrefix="0" xfId="0">
      <alignment horizontal="center"/>
    </xf>
    <xf numFmtId="0" fontId="0" fillId="0" borderId="124" applyAlignment="1" pivotButton="0" quotePrefix="0" xfId="0">
      <alignment horizontal="center"/>
    </xf>
    <xf numFmtId="0" fontId="0" fillId="0" borderId="125" pivotButton="0" quotePrefix="0" xfId="0"/>
    <xf numFmtId="0" fontId="0" fillId="0" borderId="126" applyAlignment="1" pivotButton="0" quotePrefix="0" xfId="0">
      <alignment horizontal="center"/>
    </xf>
    <xf numFmtId="0" fontId="0" fillId="0" borderId="127" applyAlignment="1" pivotButton="0" quotePrefix="0" xfId="0">
      <alignment horizontal="center"/>
    </xf>
    <xf numFmtId="0" fontId="0" fillId="0" borderId="128" pivotButton="0" quotePrefix="0" xfId="0"/>
    <xf numFmtId="0" fontId="0" fillId="0" borderId="52" applyAlignment="1" pivotButton="0" quotePrefix="0" xfId="0">
      <alignment vertical="center"/>
    </xf>
    <xf numFmtId="0" fontId="0" fillId="0" borderId="124" applyAlignment="1" pivotButton="0" quotePrefix="0" xfId="0">
      <alignment horizontal="center" vertical="center"/>
    </xf>
    <xf numFmtId="164" fontId="43" fillId="0" borderId="26" applyAlignment="1" pivotButton="0" quotePrefix="0" xfId="0">
      <alignment horizontal="center"/>
    </xf>
    <xf numFmtId="0" fontId="43" fillId="0" borderId="29" applyAlignment="1" pivotButton="0" quotePrefix="0" xfId="0">
      <alignment horizontal="center"/>
    </xf>
    <xf numFmtId="0" fontId="25" fillId="0" borderId="0" applyAlignment="1" pivotButton="0" quotePrefix="0" xfId="0">
      <alignment horizontal="left" shrinkToFit="1"/>
    </xf>
    <xf numFmtId="0" fontId="25" fillId="0" borderId="0" applyAlignment="1" pivotButton="0" quotePrefix="0" xfId="0">
      <alignment shrinkToFit="1"/>
    </xf>
    <xf numFmtId="0" fontId="43" fillId="0" borderId="32" applyAlignment="1" pivotButton="0" quotePrefix="0" xfId="0">
      <alignment horizontal="center"/>
    </xf>
    <xf numFmtId="164" fontId="43" fillId="0" borderId="26" applyAlignment="1" pivotButton="0" quotePrefix="0" xfId="0">
      <alignment horizontal="center" shrinkToFit="1"/>
    </xf>
    <xf numFmtId="0" fontId="0" fillId="0" borderId="131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3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33" applyAlignment="1" pivotButton="0" quotePrefix="0" xfId="0">
      <alignment horizontal="left"/>
    </xf>
    <xf numFmtId="0" fontId="0" fillId="0" borderId="22" applyAlignment="1" pivotButton="0" quotePrefix="0" xfId="0">
      <alignment horizontal="center"/>
    </xf>
    <xf numFmtId="165" fontId="0" fillId="0" borderId="136" applyAlignment="1" pivotButton="0" quotePrefix="0" xfId="0">
      <alignment horizontal="left"/>
    </xf>
    <xf numFmtId="0" fontId="0" fillId="0" borderId="139" applyAlignment="1" pivotButton="0" quotePrefix="0" xfId="0">
      <alignment horizontal="center"/>
    </xf>
    <xf numFmtId="165" fontId="0" fillId="0" borderId="15" applyAlignment="1" pivotButton="0" quotePrefix="0" xfId="0">
      <alignment horizontal="left"/>
    </xf>
    <xf numFmtId="0" fontId="0" fillId="0" borderId="7" applyAlignment="1" pivotButton="0" quotePrefix="0" xfId="0">
      <alignment horizontal="center"/>
    </xf>
    <xf numFmtId="165" fontId="0" fillId="0" borderId="43" applyAlignment="1" pivotButton="0" quotePrefix="0" xfId="0">
      <alignment horizontal="left"/>
    </xf>
    <xf numFmtId="0" fontId="0" fillId="0" borderId="140" applyAlignment="1" pivotButton="0" quotePrefix="0" xfId="0">
      <alignment horizontal="center"/>
    </xf>
    <xf numFmtId="165" fontId="0" fillId="0" borderId="141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165" fontId="0" fillId="0" borderId="24" applyAlignment="1" pivotButton="0" quotePrefix="0" xfId="0">
      <alignment horizontal="left"/>
    </xf>
    <xf numFmtId="165" fontId="0" fillId="0" borderId="39" applyAlignment="1" pivotButton="0" quotePrefix="0" xfId="0">
      <alignment horizontal="left"/>
    </xf>
    <xf numFmtId="165" fontId="0" fillId="0" borderId="8" applyAlignment="1" pivotButton="0" quotePrefix="0" xfId="0">
      <alignment horizontal="left"/>
    </xf>
    <xf numFmtId="165" fontId="0" fillId="0" borderId="11" applyAlignment="1" pivotButton="0" quotePrefix="0" xfId="0">
      <alignment horizontal="left"/>
    </xf>
    <xf numFmtId="0" fontId="0" fillId="0" borderId="133" applyAlignment="1" pivotButton="0" quotePrefix="0" xfId="0">
      <alignment horizontal="left"/>
    </xf>
    <xf numFmtId="0" fontId="0" fillId="0" borderId="136" applyAlignment="1" pivotButton="0" quotePrefix="0" xfId="0">
      <alignment horizontal="left"/>
    </xf>
    <xf numFmtId="0" fontId="0" fillId="0" borderId="15" applyAlignment="1" pivotButton="0" quotePrefix="0" xfId="0">
      <alignment horizontal="left"/>
    </xf>
    <xf numFmtId="0" fontId="0" fillId="0" borderId="14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3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43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5" applyAlignment="1" pivotButton="0" quotePrefix="0" xfId="0">
      <alignment horizontal="center"/>
    </xf>
    <xf numFmtId="0" fontId="0" fillId="0" borderId="142" applyAlignment="1" pivotButton="0" quotePrefix="0" xfId="0">
      <alignment horizontal="center"/>
    </xf>
    <xf numFmtId="165" fontId="0" fillId="0" borderId="143" applyAlignment="1" pivotButton="0" quotePrefix="0" xfId="0">
      <alignment horizontal="left"/>
    </xf>
    <xf numFmtId="165" fontId="0" fillId="0" borderId="9" applyAlignment="1" pivotButton="0" quotePrefix="0" xfId="0">
      <alignment horizontal="left"/>
    </xf>
    <xf numFmtId="165" fontId="0" fillId="0" borderId="12" applyAlignment="1" pivotButton="0" quotePrefix="0" xfId="0">
      <alignment horizontal="left"/>
    </xf>
    <xf numFmtId="0" fontId="0" fillId="0" borderId="143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0" borderId="145" applyAlignment="1" pivotButton="0" quotePrefix="0" xfId="0">
      <alignment horizontal="center"/>
    </xf>
    <xf numFmtId="0" fontId="0" fillId="0" borderId="133" applyAlignment="1" pivotButton="0" quotePrefix="0" xfId="0">
      <alignment horizontal="center"/>
    </xf>
    <xf numFmtId="0" fontId="0" fillId="0" borderId="135" pivotButton="0" quotePrefix="0" xfId="0"/>
    <xf numFmtId="0" fontId="0" fillId="0" borderId="15" applyAlignment="1" pivotButton="0" quotePrefix="0" xfId="0">
      <alignment horizontal="center"/>
    </xf>
    <xf numFmtId="0" fontId="0" fillId="0" borderId="17" pivotButton="0" quotePrefix="0" xfId="0"/>
    <xf numFmtId="0" fontId="0" fillId="0" borderId="141" applyAlignment="1" pivotButton="0" quotePrefix="0" xfId="0">
      <alignment horizontal="center"/>
    </xf>
    <xf numFmtId="0" fontId="0" fillId="0" borderId="142" pivotButton="0" quotePrefix="0" xfId="0"/>
    <xf numFmtId="0" fontId="3" fillId="0" borderId="143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3" fillId="0" borderId="144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3" fillId="0" borderId="135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142" applyAlignment="1" pivotButton="0" quotePrefix="0" xfId="0">
      <alignment horizontal="center"/>
    </xf>
    <xf numFmtId="165" fontId="0" fillId="0" borderId="146" applyAlignment="1" pivotButton="0" quotePrefix="0" xfId="0">
      <alignment horizontal="left"/>
    </xf>
    <xf numFmtId="165" fontId="0" fillId="0" borderId="147" applyAlignment="1" pivotButton="0" quotePrefix="0" xfId="0">
      <alignment horizontal="left"/>
    </xf>
    <xf numFmtId="165" fontId="0" fillId="0" borderId="83" applyAlignment="1" pivotButton="0" quotePrefix="0" xfId="0">
      <alignment horizontal="left"/>
    </xf>
    <xf numFmtId="165" fontId="0" fillId="0" borderId="148" applyAlignment="1" pivotButton="0" quotePrefix="0" xfId="0">
      <alignment horizontal="left"/>
    </xf>
    <xf numFmtId="165" fontId="0" fillId="0" borderId="149" applyAlignment="1" pivotButton="0" quotePrefix="0" xfId="0">
      <alignment horizontal="left"/>
    </xf>
    <xf numFmtId="0" fontId="0" fillId="0" borderId="146" applyAlignment="1" pivotButton="0" quotePrefix="0" xfId="0">
      <alignment horizontal="left"/>
    </xf>
    <xf numFmtId="0" fontId="0" fillId="0" borderId="147" applyAlignment="1" pivotButton="0" quotePrefix="0" xfId="0">
      <alignment horizontal="left"/>
    </xf>
    <xf numFmtId="0" fontId="0" fillId="0" borderId="83" applyAlignment="1" pivotButton="0" quotePrefix="0" xfId="0">
      <alignment horizontal="left"/>
    </xf>
    <xf numFmtId="0" fontId="0" fillId="0" borderId="149" applyAlignment="1" pivotButton="0" quotePrefix="0" xfId="0">
      <alignment horizontal="left"/>
    </xf>
    <xf numFmtId="0" fontId="3" fillId="0" borderId="14" applyAlignment="1" pivotButton="0" quotePrefix="0" xfId="0">
      <alignment horizontal="center"/>
    </xf>
    <xf numFmtId="0" fontId="3" fillId="0" borderId="154" applyAlignment="1" pivotButton="0" quotePrefix="0" xfId="0">
      <alignment horizontal="center"/>
    </xf>
    <xf numFmtId="0" fontId="3" fillId="0" borderId="144" applyAlignment="1" pivotButton="0" quotePrefix="0" xfId="0">
      <alignment horizontal="left"/>
    </xf>
    <xf numFmtId="0" fontId="3" fillId="0" borderId="14" applyAlignment="1" pivotButton="0" quotePrefix="0" xfId="0">
      <alignment horizontal="left"/>
    </xf>
    <xf numFmtId="0" fontId="3" fillId="0" borderId="10" applyAlignment="1" pivotButton="0" quotePrefix="0" xfId="0">
      <alignment horizontal="left"/>
    </xf>
    <xf numFmtId="0" fontId="3" fillId="0" borderId="154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50" applyAlignment="1" pivotButton="0" quotePrefix="0" xfId="0">
      <alignment horizontal="center"/>
    </xf>
    <xf numFmtId="0" fontId="3" fillId="0" borderId="151" applyAlignment="1" pivotButton="0" quotePrefix="0" xfId="0">
      <alignment horizontal="center"/>
    </xf>
    <xf numFmtId="0" fontId="3" fillId="0" borderId="82" applyAlignment="1" pivotButton="0" quotePrefix="0" xfId="0">
      <alignment horizontal="center"/>
    </xf>
    <xf numFmtId="0" fontId="3" fillId="0" borderId="152" applyAlignment="1" pivotButton="0" quotePrefix="0" xfId="0">
      <alignment horizontal="center"/>
    </xf>
    <xf numFmtId="0" fontId="3" fillId="0" borderId="153" applyAlignment="1" pivotButton="0" quotePrefix="0" xfId="0">
      <alignment horizontal="center"/>
    </xf>
    <xf numFmtId="0" fontId="3" fillId="0" borderId="150" applyAlignment="1" pivotButton="0" quotePrefix="0" xfId="0">
      <alignment horizontal="left"/>
    </xf>
    <xf numFmtId="0" fontId="3" fillId="0" borderId="151" applyAlignment="1" pivotButton="0" quotePrefix="0" xfId="0">
      <alignment horizontal="left"/>
    </xf>
    <xf numFmtId="0" fontId="3" fillId="0" borderId="82" applyAlignment="1" pivotButton="0" quotePrefix="0" xfId="0">
      <alignment horizontal="left"/>
    </xf>
    <xf numFmtId="0" fontId="3" fillId="0" borderId="152" applyAlignment="1" pivotButton="0" quotePrefix="0" xfId="0">
      <alignment horizontal="left"/>
    </xf>
    <xf numFmtId="0" fontId="3" fillId="0" borderId="153" applyAlignment="1" pivotButton="0" quotePrefix="0" xfId="0">
      <alignment horizontal="left"/>
    </xf>
    <xf numFmtId="0" fontId="3" fillId="0" borderId="138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0" fillId="0" borderId="16" pivotButton="0" quotePrefix="0" xfId="0"/>
    <xf numFmtId="0" fontId="0" fillId="0" borderId="18" pivotButton="0" quotePrefix="0" xfId="0"/>
    <xf numFmtId="0" fontId="0" fillId="0" borderId="134" pivotButton="0" quotePrefix="0" xfId="0"/>
    <xf numFmtId="0" fontId="4" fillId="0" borderId="0" pivotButton="0" quotePrefix="0" xfId="0"/>
    <xf numFmtId="0" fontId="4" fillId="0" borderId="131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132" applyAlignment="1" pivotButton="0" quotePrefix="0" xfId="0">
      <alignment horizontal="center"/>
    </xf>
    <xf numFmtId="0" fontId="4" fillId="0" borderId="133" applyAlignment="1" pivotButton="0" quotePrefix="0" xfId="0">
      <alignment horizontal="center"/>
    </xf>
    <xf numFmtId="0" fontId="4" fillId="0" borderId="134" applyAlignment="1" pivotButton="0" quotePrefix="0" xfId="0">
      <alignment horizontal="center"/>
    </xf>
    <xf numFmtId="0" fontId="4" fillId="0" borderId="135" pivotButton="0" quotePrefix="0" xfId="0"/>
    <xf numFmtId="0" fontId="4" fillId="0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pivotButton="0" quotePrefix="0" xfId="0"/>
    <xf numFmtId="0" fontId="4" fillId="0" borderId="16" pivotButton="0" quotePrefix="0" xfId="0"/>
    <xf numFmtId="0" fontId="4" fillId="0" borderId="141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8" pivotButton="0" quotePrefix="0" xfId="0"/>
    <xf numFmtId="0" fontId="4" fillId="0" borderId="142" pivotButton="0" quotePrefix="0" xfId="0"/>
    <xf numFmtId="0" fontId="4" fillId="0" borderId="134" pivotButton="0" quotePrefix="0" xfId="0"/>
    <xf numFmtId="0" fontId="4" fillId="0" borderId="135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42" applyAlignment="1" pivotButton="0" quotePrefix="0" xfId="0">
      <alignment horizontal="center"/>
    </xf>
    <xf numFmtId="0" fontId="4" fillId="0" borderId="136" applyAlignment="1" pivotButton="0" quotePrefix="0" xfId="0">
      <alignment horizontal="center"/>
    </xf>
    <xf numFmtId="0" fontId="4" fillId="0" borderId="137" applyAlignment="1" pivotButton="0" quotePrefix="0" xfId="0">
      <alignment horizontal="center"/>
    </xf>
    <xf numFmtId="0" fontId="4" fillId="0" borderId="138" applyAlignment="1" pivotButton="0" quotePrefix="0" xfId="0">
      <alignment horizontal="center"/>
    </xf>
    <xf numFmtId="0" fontId="4" fillId="0" borderId="43" applyAlignment="1" pivotButton="0" quotePrefix="0" xfId="0">
      <alignment horizontal="center"/>
    </xf>
    <xf numFmtId="0" fontId="4" fillId="0" borderId="44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165" fontId="0" fillId="0" borderId="0" pivotButton="0" quotePrefix="0" xfId="0"/>
    <xf numFmtId="0" fontId="0" fillId="0" borderId="43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1" pivotButton="0" quotePrefix="0" xfId="0"/>
    <xf numFmtId="0" fontId="0" fillId="0" borderId="136" applyAlignment="1" pivotButton="0" quotePrefix="0" xfId="0">
      <alignment horizontal="center"/>
    </xf>
    <xf numFmtId="0" fontId="0" fillId="0" borderId="137" applyAlignment="1" pivotButton="0" quotePrefix="0" xfId="0">
      <alignment horizontal="center"/>
    </xf>
    <xf numFmtId="0" fontId="0" fillId="0" borderId="138" pivotButton="0" quotePrefix="0" xfId="0"/>
    <xf numFmtId="165" fontId="0" fillId="0" borderId="52" pivotButton="0" quotePrefix="0" xfId="0"/>
    <xf numFmtId="165" fontId="3" fillId="0" borderId="0" applyAlignment="1" pivotButton="0" quotePrefix="0" xfId="0">
      <alignment horizontal="center"/>
    </xf>
    <xf numFmtId="0" fontId="0" fillId="0" borderId="155" applyAlignment="1" pivotButton="0" quotePrefix="0" xfId="0">
      <alignment horizontal="center"/>
    </xf>
    <xf numFmtId="0" fontId="46" fillId="0" borderId="0" applyAlignment="1" pivotButton="0" quotePrefix="0" xfId="0">
      <alignment horizontal="center"/>
    </xf>
    <xf numFmtId="165" fontId="47" fillId="0" borderId="0" applyAlignment="1" pivotButton="0" quotePrefix="0" xfId="0">
      <alignment horizontal="center"/>
    </xf>
    <xf numFmtId="0" fontId="48" fillId="0" borderId="1" applyAlignment="1" pivotButton="0" quotePrefix="0" xfId="0">
      <alignment horizontal="center" vertical="center"/>
    </xf>
    <xf numFmtId="0" fontId="49" fillId="0" borderId="0" pivotButton="0" quotePrefix="0" xfId="0"/>
    <xf numFmtId="0" fontId="48" fillId="0" borderId="3" applyAlignment="1" pivotButton="0" quotePrefix="0" xfId="0">
      <alignment horizontal="center" vertical="center"/>
    </xf>
    <xf numFmtId="0" fontId="48" fillId="0" borderId="4" applyAlignment="1" pivotButton="0" quotePrefix="0" xfId="0">
      <alignment horizontal="center" vertical="center"/>
    </xf>
    <xf numFmtId="0" fontId="48" fillId="0" borderId="5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shrinkToFit="1"/>
    </xf>
    <xf numFmtId="0" fontId="14" fillId="0" borderId="4" applyAlignment="1" pivotButton="0" quotePrefix="0" xfId="0">
      <alignment horizontal="center" shrinkToFit="1"/>
    </xf>
    <xf numFmtId="0" fontId="14" fillId="0" borderId="5" applyAlignment="1" pivotButton="0" quotePrefix="0" xfId="0">
      <alignment horizontal="center" shrinkToFit="1"/>
    </xf>
    <xf numFmtId="0" fontId="14" fillId="0" borderId="3" applyAlignment="1" pivotButton="0" quotePrefix="0" xfId="0">
      <alignment horizontal="center" shrinkToFit="1"/>
    </xf>
    <xf numFmtId="0" fontId="0" fillId="0" borderId="89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0" fillId="0" borderId="90" applyAlignment="1" pivotButton="0" quotePrefix="0" xfId="0">
      <alignment horizontal="center"/>
    </xf>
    <xf numFmtId="20" fontId="12" fillId="0" borderId="91" applyAlignment="1" pivotButton="0" quotePrefix="0" xfId="0">
      <alignment horizontal="center" shrinkToFit="1"/>
    </xf>
    <xf numFmtId="20" fontId="12" fillId="0" borderId="41" applyAlignment="1" pivotButton="0" quotePrefix="0" xfId="0">
      <alignment horizontal="center" shrinkToFit="1"/>
    </xf>
    <xf numFmtId="20" fontId="12" fillId="0" borderId="42" applyAlignment="1" pivotButton="0" quotePrefix="0" xfId="0">
      <alignment horizontal="center" shrinkToFit="1"/>
    </xf>
    <xf numFmtId="0" fontId="42" fillId="0" borderId="92" applyAlignment="1" pivotButton="0" quotePrefix="0" xfId="0">
      <alignment horizontal="center" shrinkToFit="1"/>
    </xf>
    <xf numFmtId="0" fontId="42" fillId="0" borderId="23" applyAlignment="1" pivotButton="0" quotePrefix="0" xfId="0">
      <alignment horizontal="center" shrinkToFit="1"/>
    </xf>
    <xf numFmtId="0" fontId="42" fillId="0" borderId="56" applyAlignment="1" pivotButton="0" quotePrefix="0" xfId="0">
      <alignment horizontal="center" shrinkToFit="1"/>
    </xf>
    <xf numFmtId="0" fontId="13" fillId="0" borderId="93" applyAlignment="1" pivotButton="0" quotePrefix="0" xfId="0">
      <alignment horizontal="center" shrinkToFit="1"/>
    </xf>
    <xf numFmtId="0" fontId="13" fillId="0" borderId="57" applyAlignment="1" pivotButton="0" quotePrefix="0" xfId="0">
      <alignment horizontal="center" shrinkToFit="1"/>
    </xf>
    <xf numFmtId="0" fontId="13" fillId="0" borderId="58" applyAlignment="1" pivotButton="0" quotePrefix="0" xfId="0">
      <alignment horizontal="center" shrinkToFit="1"/>
    </xf>
    <xf numFmtId="0" fontId="39" fillId="0" borderId="93" applyAlignment="1" pivotButton="0" quotePrefix="0" xfId="0">
      <alignment horizontal="center" shrinkToFit="1"/>
    </xf>
    <xf numFmtId="0" fontId="39" fillId="0" borderId="57" applyAlignment="1" pivotButton="0" quotePrefix="0" xfId="0">
      <alignment horizontal="center" shrinkToFit="1"/>
    </xf>
    <xf numFmtId="0" fontId="39" fillId="0" borderId="58" applyAlignment="1" pivotButton="0" quotePrefix="0" xfId="0">
      <alignment horizontal="center" shrinkToFit="1"/>
    </xf>
    <xf numFmtId="20" fontId="13" fillId="0" borderId="91" applyAlignment="1" pivotButton="0" quotePrefix="0" xfId="0">
      <alignment horizontal="center" shrinkToFit="1"/>
    </xf>
    <xf numFmtId="20" fontId="13" fillId="0" borderId="41" applyAlignment="1" pivotButton="0" quotePrefix="0" xfId="0">
      <alignment horizontal="center" shrinkToFit="1"/>
    </xf>
    <xf numFmtId="20" fontId="13" fillId="0" borderId="42" applyAlignment="1" pivotButton="0" quotePrefix="0" xfId="0">
      <alignment horizontal="center" shrinkToFit="1"/>
    </xf>
    <xf numFmtId="0" fontId="0" fillId="0" borderId="87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88" applyAlignment="1" pivotButton="0" quotePrefix="0" xfId="0">
      <alignment horizontal="center"/>
    </xf>
    <xf numFmtId="0" fontId="26" fillId="9" borderId="46" applyAlignment="1" pivotButton="0" quotePrefix="0" xfId="0">
      <alignment horizontal="center" vertical="center" shrinkToFit="1"/>
    </xf>
    <xf numFmtId="0" fontId="26" fillId="9" borderId="79" applyAlignment="1" pivotButton="0" quotePrefix="0" xfId="0">
      <alignment horizontal="center" vertical="center" shrinkToFit="1"/>
    </xf>
    <xf numFmtId="0" fontId="26" fillId="9" borderId="47" applyAlignment="1" pivotButton="0" quotePrefix="0" xfId="0">
      <alignment horizontal="center" vertical="center" shrinkToFit="1"/>
    </xf>
    <xf numFmtId="0" fontId="22" fillId="7" borderId="45" applyAlignment="1" pivotButton="0" quotePrefix="0" xfId="0">
      <alignment horizontal="center" vertical="center" shrinkToFit="1"/>
    </xf>
    <xf numFmtId="0" fontId="22" fillId="7" borderId="35" applyAlignment="1" pivotButton="0" quotePrefix="0" xfId="0">
      <alignment horizontal="center" vertical="center" shrinkToFit="1"/>
    </xf>
    <xf numFmtId="0" fontId="22" fillId="7" borderId="37" applyAlignment="1" pivotButton="0" quotePrefix="0" xfId="0">
      <alignment horizontal="center" vertical="center" shrinkToFit="1"/>
    </xf>
    <xf numFmtId="0" fontId="27" fillId="0" borderId="3" applyAlignment="1" pivotButton="0" quotePrefix="0" xfId="0">
      <alignment horizontal="center" shrinkToFit="1"/>
    </xf>
    <xf numFmtId="0" fontId="27" fillId="0" borderId="4" applyAlignment="1" pivotButton="0" quotePrefix="0" xfId="0">
      <alignment horizontal="center" shrinkToFit="1"/>
    </xf>
    <xf numFmtId="0" fontId="24" fillId="3" borderId="45" applyAlignment="1" pivotButton="0" quotePrefix="0" xfId="0">
      <alignment horizontal="center" vertical="center" shrinkToFit="1"/>
    </xf>
    <xf numFmtId="0" fontId="24" fillId="3" borderId="37" applyAlignment="1" pivotButton="0" quotePrefix="0" xfId="0">
      <alignment horizontal="center" vertical="center" shrinkToFit="1"/>
    </xf>
    <xf numFmtId="0" fontId="22" fillId="4" borderId="45" applyAlignment="1" pivotButton="0" quotePrefix="0" xfId="0">
      <alignment horizontal="center" vertical="center" shrinkToFit="1"/>
    </xf>
    <xf numFmtId="0" fontId="22" fillId="4" borderId="35" applyAlignment="1" pivotButton="0" quotePrefix="0" xfId="0">
      <alignment horizontal="center" vertical="center" shrinkToFit="1"/>
    </xf>
    <xf numFmtId="0" fontId="22" fillId="4" borderId="37" applyAlignment="1" pivotButton="0" quotePrefix="0" xfId="0">
      <alignment horizontal="center" vertical="center" shrinkToFit="1"/>
    </xf>
    <xf numFmtId="0" fontId="24" fillId="2" borderId="45" applyAlignment="1" pivotButton="0" quotePrefix="0" xfId="0">
      <alignment horizontal="center" vertical="center" shrinkToFit="1"/>
    </xf>
    <xf numFmtId="0" fontId="24" fillId="2" borderId="35" applyAlignment="1" pivotButton="0" quotePrefix="0" xfId="0">
      <alignment horizontal="center" vertical="center" shrinkToFit="1"/>
    </xf>
    <xf numFmtId="0" fontId="24" fillId="2" borderId="37" applyAlignment="1" pivotButton="0" quotePrefix="0" xfId="0">
      <alignment horizontal="center" vertical="center" shrinkToFit="1"/>
    </xf>
    <xf numFmtId="0" fontId="24" fillId="5" borderId="45" applyAlignment="1" pivotButton="0" quotePrefix="0" xfId="0">
      <alignment horizontal="center" vertical="center" shrinkToFit="1"/>
    </xf>
    <xf numFmtId="0" fontId="24" fillId="5" borderId="35" applyAlignment="1" pivotButton="0" quotePrefix="0" xfId="0">
      <alignment horizontal="center" vertical="center" shrinkToFit="1"/>
    </xf>
    <xf numFmtId="0" fontId="24" fillId="5" borderId="37" applyAlignment="1" pivotButton="0" quotePrefix="0" xfId="0">
      <alignment horizontal="center" vertical="center" shrinkToFit="1"/>
    </xf>
    <xf numFmtId="0" fontId="22" fillId="6" borderId="45" applyAlignment="1" pivotButton="0" quotePrefix="0" xfId="0">
      <alignment horizontal="center" vertical="center" shrinkToFit="1"/>
    </xf>
    <xf numFmtId="0" fontId="22" fillId="6" borderId="35" applyAlignment="1" pivotButton="0" quotePrefix="0" xfId="0">
      <alignment horizontal="center" vertical="center" shrinkToFit="1"/>
    </xf>
    <xf numFmtId="0" fontId="22" fillId="6" borderId="37" applyAlignment="1" pivotButton="0" quotePrefix="0" xfId="0">
      <alignment horizontal="center" vertical="center" shrinkToFit="1"/>
    </xf>
    <xf numFmtId="0" fontId="13" fillId="0" borderId="70" applyAlignment="1" pivotButton="0" quotePrefix="0" xfId="0">
      <alignment horizontal="center" vertical="center" textRotation="255" shrinkToFit="1"/>
    </xf>
    <xf numFmtId="0" fontId="13" fillId="0" borderId="55" applyAlignment="1" pivotButton="0" quotePrefix="0" xfId="0">
      <alignment horizontal="center" vertical="center" textRotation="255" shrinkToFit="1"/>
    </xf>
    <xf numFmtId="0" fontId="13" fillId="0" borderId="54" applyAlignment="1" pivotButton="0" quotePrefix="0" xfId="0">
      <alignment horizontal="center" vertical="center" textRotation="255" shrinkToFit="1"/>
    </xf>
    <xf numFmtId="0" fontId="13" fillId="0" borderId="69" applyAlignment="1" pivotButton="0" quotePrefix="0" xfId="0">
      <alignment horizontal="center" vertical="center" textRotation="255" shrinkToFit="1"/>
    </xf>
    <xf numFmtId="0" fontId="13" fillId="0" borderId="51" applyAlignment="1" pivotButton="0" quotePrefix="0" xfId="0">
      <alignment horizontal="center" vertical="center" textRotation="255" shrinkToFit="1"/>
    </xf>
    <xf numFmtId="0" fontId="13" fillId="0" borderId="71" applyAlignment="1" pivotButton="0" quotePrefix="0" xfId="0">
      <alignment horizontal="center" vertical="center" textRotation="255" shrinkToFit="1"/>
    </xf>
    <xf numFmtId="0" fontId="13" fillId="0" borderId="72" applyAlignment="1" pivotButton="0" quotePrefix="0" xfId="0">
      <alignment horizontal="center" vertical="center" textRotation="255" shrinkToFit="1"/>
    </xf>
    <xf numFmtId="0" fontId="13" fillId="0" borderId="73" applyAlignment="1" pivotButton="0" quotePrefix="0" xfId="0">
      <alignment horizontal="center" vertical="center" textRotation="255" shrinkToFit="1"/>
    </xf>
    <xf numFmtId="0" fontId="23" fillId="0" borderId="0" applyAlignment="1" pivotButton="0" quotePrefix="0" xfId="0">
      <alignment horizontal="center" shrinkToFit="1"/>
    </xf>
    <xf numFmtId="0" fontId="44" fillId="0" borderId="118" applyAlignment="1" pivotButton="0" quotePrefix="0" xfId="0">
      <alignment horizontal="center" shrinkToFit="1"/>
    </xf>
    <xf numFmtId="0" fontId="44" fillId="0" borderId="119" applyAlignment="1" pivotButton="0" quotePrefix="0" xfId="0">
      <alignment horizontal="center" shrinkToFit="1"/>
    </xf>
    <xf numFmtId="0" fontId="44" fillId="0" borderId="120" applyAlignment="1" pivotButton="0" quotePrefix="0" xfId="0">
      <alignment horizontal="center" shrinkToFit="1"/>
    </xf>
    <xf numFmtId="31" fontId="30" fillId="10" borderId="0" applyAlignment="1" pivotButton="0" quotePrefix="0" xfId="0">
      <alignment horizontal="center" vertical="center" shrinkToFit="1"/>
    </xf>
    <xf numFmtId="22" fontId="13" fillId="0" borderId="0" applyAlignment="1" pivotButton="0" quotePrefix="0" xfId="0">
      <alignment horizontal="center" shrinkToFit="1"/>
    </xf>
    <xf numFmtId="0" fontId="45" fillId="9" borderId="78" applyAlignment="1" pivotButton="0" quotePrefix="0" xfId="0">
      <alignment horizontal="center" vertical="center" shrinkToFit="1"/>
    </xf>
    <xf numFmtId="0" fontId="45" fillId="9" borderId="59" applyAlignment="1" pivotButton="0" quotePrefix="0" xfId="0">
      <alignment horizontal="center" vertical="center" shrinkToFit="1"/>
    </xf>
    <xf numFmtId="0" fontId="45" fillId="9" borderId="65" applyAlignment="1" pivotButton="0" quotePrefix="0" xfId="0">
      <alignment horizontal="center" vertical="center" shrinkToFit="1"/>
    </xf>
    <xf numFmtId="0" fontId="22" fillId="0" borderId="115" applyAlignment="1" pivotButton="0" quotePrefix="0" xfId="0">
      <alignment horizontal="center" vertical="center" textRotation="255" shrinkToFit="1"/>
    </xf>
    <xf numFmtId="0" fontId="22" fillId="0" borderId="116" applyAlignment="1" pivotButton="0" quotePrefix="0" xfId="0">
      <alignment horizontal="center" vertical="center" textRotation="255" shrinkToFit="1"/>
    </xf>
    <xf numFmtId="0" fontId="22" fillId="0" borderId="117" applyAlignment="1" pivotButton="0" quotePrefix="0" xfId="0">
      <alignment horizontal="center" vertical="center" textRotation="255" shrinkToFit="1"/>
    </xf>
    <xf numFmtId="22" fontId="36" fillId="0" borderId="129" applyAlignment="1" pivotButton="0" quotePrefix="0" xfId="0">
      <alignment horizontal="center" shrinkToFit="1"/>
    </xf>
    <xf numFmtId="22" fontId="36" fillId="0" borderId="130" applyAlignment="1" pivotButton="0" quotePrefix="0" xfId="0">
      <alignment horizontal="center" shrinkToFit="1"/>
    </xf>
    <xf numFmtId="22" fontId="36" fillId="0" borderId="118" applyAlignment="1" pivotButton="0" quotePrefix="0" xfId="0">
      <alignment horizontal="center" shrinkToFit="1"/>
    </xf>
    <xf numFmtId="22" fontId="36" fillId="0" borderId="119" applyAlignment="1" pivotButton="0" quotePrefix="0" xfId="0">
      <alignment horizontal="center" shrinkToFit="1"/>
    </xf>
    <xf numFmtId="22" fontId="36" fillId="0" borderId="120" applyAlignment="1" pivotButton="0" quotePrefix="0" xfId="0">
      <alignment horizontal="center" shrinkToFi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50" fillId="0" borderId="3" applyAlignment="1" pivotButton="0" quotePrefix="0" xfId="0">
      <alignment horizontal="center"/>
    </xf>
    <xf numFmtId="0" fontId="50" fillId="0" borderId="4" applyAlignment="1" pivotButton="0" quotePrefix="0" xfId="0">
      <alignment horizontal="center"/>
    </xf>
    <xf numFmtId="0" fontId="50" fillId="0" borderId="5" applyAlignment="1" pivotButton="0" quotePrefix="0" xfId="0">
      <alignment horizontal="center"/>
    </xf>
    <xf numFmtId="0" fontId="34" fillId="0" borderId="20" applyAlignment="1" pivotButton="0" quotePrefix="0" xfId="0">
      <alignment horizontal="center" vertical="center"/>
    </xf>
    <xf numFmtId="14" fontId="4" fillId="0" borderId="20" applyAlignment="1" pivotButton="0" quotePrefix="0" xfId="0">
      <alignment horizontal="center"/>
    </xf>
    <xf numFmtId="0" fontId="12" fillId="0" borderId="1" applyAlignment="1" pivotButton="0" quotePrefix="0" xfId="0">
      <alignment horizontal="center" shrinkToFit="1"/>
    </xf>
    <xf numFmtId="0" fontId="0" fillId="0" borderId="4" pivotButton="0" quotePrefix="0" xfId="0"/>
    <xf numFmtId="0" fontId="0" fillId="0" borderId="5" pivotButton="0" quotePrefix="0" xfId="0"/>
    <xf numFmtId="0" fontId="14" fillId="0" borderId="1" applyAlignment="1" pivotButton="0" quotePrefix="0" xfId="0">
      <alignment horizontal="center" shrinkToFit="1"/>
    </xf>
    <xf numFmtId="0" fontId="44" fillId="0" borderId="158" applyAlignment="1" pivotButton="0" quotePrefix="0" xfId="0">
      <alignment horizontal="center" shrinkToFit="1"/>
    </xf>
    <xf numFmtId="0" fontId="0" fillId="0" borderId="119" pivotButton="0" quotePrefix="0" xfId="0"/>
    <xf numFmtId="0" fontId="0" fillId="0" borderId="120" pivotButton="0" quotePrefix="0" xfId="0"/>
    <xf numFmtId="22" fontId="36" fillId="0" borderId="158" applyAlignment="1" pivotButton="0" quotePrefix="0" xfId="0">
      <alignment horizontal="center" shrinkToFit="1"/>
    </xf>
    <xf numFmtId="0" fontId="0" fillId="0" borderId="130" pivotButton="0" quotePrefix="0" xfId="0"/>
    <xf numFmtId="0" fontId="45" fillId="9" borderId="161" applyAlignment="1" pivotButton="0" quotePrefix="0" xfId="0">
      <alignment horizontal="center" vertical="center" shrinkToFit="1"/>
    </xf>
    <xf numFmtId="0" fontId="0" fillId="0" borderId="59" pivotButton="0" quotePrefix="0" xfId="0"/>
    <xf numFmtId="0" fontId="0" fillId="0" borderId="65" pivotButton="0" quotePrefix="0" xfId="0"/>
    <xf numFmtId="0" fontId="22" fillId="0" borderId="164" applyAlignment="1" pivotButton="0" quotePrefix="0" xfId="0">
      <alignment horizontal="center" vertical="center" textRotation="255" shrinkToFit="1"/>
    </xf>
    <xf numFmtId="20" fontId="12" fillId="0" borderId="171" applyAlignment="1" pivotButton="0" quotePrefix="0" xfId="0">
      <alignment horizontal="center" shrinkToFit="1"/>
    </xf>
    <xf numFmtId="0" fontId="0" fillId="0" borderId="41" pivotButton="0" quotePrefix="0" xfId="0"/>
    <xf numFmtId="0" fontId="0" fillId="0" borderId="42" pivotButton="0" quotePrefix="0" xfId="0"/>
    <xf numFmtId="0" fontId="13" fillId="0" borderId="165" applyAlignment="1" pivotButton="0" quotePrefix="0" xfId="0">
      <alignment horizontal="center" vertical="center" textRotation="255" shrinkToFit="1"/>
    </xf>
    <xf numFmtId="0" fontId="13" fillId="0" borderId="166" applyAlignment="1" pivotButton="0" quotePrefix="0" xfId="0">
      <alignment horizontal="center" vertical="center" textRotation="255" shrinkToFit="1"/>
    </xf>
    <xf numFmtId="20" fontId="13" fillId="0" borderId="171" applyAlignment="1" pivotButton="0" quotePrefix="0" xfId="0">
      <alignment horizontal="center" shrinkToFit="1"/>
    </xf>
    <xf numFmtId="0" fontId="0" fillId="0" borderId="116" pivotButton="0" quotePrefix="0" xfId="0"/>
    <xf numFmtId="0" fontId="42" fillId="0" borderId="172" applyAlignment="1" pivotButton="0" quotePrefix="0" xfId="0">
      <alignment horizontal="center" shrinkToFit="1"/>
    </xf>
    <xf numFmtId="0" fontId="0" fillId="0" borderId="23" pivotButton="0" quotePrefix="0" xfId="0"/>
    <xf numFmtId="0" fontId="0" fillId="0" borderId="56" pivotButton="0" quotePrefix="0" xfId="0"/>
    <xf numFmtId="0" fontId="0" fillId="0" borderId="51" pivotButton="0" quotePrefix="0" xfId="0"/>
    <xf numFmtId="0" fontId="0" fillId="0" borderId="55" pivotButton="0" quotePrefix="0" xfId="0"/>
    <xf numFmtId="0" fontId="0" fillId="0" borderId="72" pivotButton="0" quotePrefix="0" xfId="0"/>
    <xf numFmtId="0" fontId="13" fillId="0" borderId="167" applyAlignment="1" pivotButton="0" quotePrefix="0" xfId="0">
      <alignment horizontal="center" shrinkToFit="1"/>
    </xf>
    <xf numFmtId="0" fontId="0" fillId="0" borderId="57" pivotButton="0" quotePrefix="0" xfId="0"/>
    <xf numFmtId="0" fontId="0" fillId="0" borderId="58" pivotButton="0" quotePrefix="0" xfId="0"/>
    <xf numFmtId="0" fontId="39" fillId="0" borderId="167" applyAlignment="1" pivotButton="0" quotePrefix="0" xfId="0">
      <alignment horizontal="center" shrinkToFit="1"/>
    </xf>
    <xf numFmtId="0" fontId="0" fillId="0" borderId="117" pivotButton="0" quotePrefix="0" xfId="0"/>
    <xf numFmtId="0" fontId="0" fillId="0" borderId="54" pivotButton="0" quotePrefix="0" xfId="0"/>
    <xf numFmtId="0" fontId="0" fillId="0" borderId="73" pivotButton="0" quotePrefix="0" xfId="0"/>
    <xf numFmtId="0" fontId="24" fillId="3" borderId="3" applyAlignment="1" pivotButton="0" quotePrefix="0" xfId="0">
      <alignment horizontal="center" vertical="center" shrinkToFit="1"/>
    </xf>
    <xf numFmtId="164" fontId="27" fillId="0" borderId="84" applyAlignment="1" pivotButton="0" quotePrefix="0" xfId="0">
      <alignment horizontal="center" shrinkToFit="1"/>
    </xf>
    <xf numFmtId="164" fontId="27" fillId="0" borderId="104" applyAlignment="1" pivotButton="0" quotePrefix="0" xfId="0">
      <alignment horizontal="center" shrinkToFit="1"/>
    </xf>
    <xf numFmtId="0" fontId="0" fillId="0" borderId="37" pivotButton="0" quotePrefix="0" xfId="0"/>
    <xf numFmtId="164" fontId="27" fillId="0" borderId="85" applyAlignment="1" pivotButton="0" quotePrefix="0" xfId="0">
      <alignment horizontal="center" shrinkToFit="1"/>
    </xf>
    <xf numFmtId="164" fontId="27" fillId="0" borderId="102" applyAlignment="1" pivotButton="0" quotePrefix="0" xfId="0">
      <alignment horizontal="center" shrinkToFit="1"/>
    </xf>
    <xf numFmtId="0" fontId="22" fillId="4" borderId="3" applyAlignment="1" pivotButton="0" quotePrefix="0" xfId="0">
      <alignment horizontal="center" vertical="center" shrinkToFit="1"/>
    </xf>
    <xf numFmtId="0" fontId="0" fillId="0" borderId="35" pivotButton="0" quotePrefix="0" xfId="0"/>
    <xf numFmtId="164" fontId="27" fillId="0" borderId="86" applyAlignment="1" pivotButton="0" quotePrefix="0" xfId="0">
      <alignment horizontal="center" shrinkToFit="1"/>
    </xf>
    <xf numFmtId="164" fontId="27" fillId="0" borderId="103" applyAlignment="1" pivotButton="0" quotePrefix="0" xfId="0">
      <alignment horizontal="center" shrinkToFit="1"/>
    </xf>
    <xf numFmtId="0" fontId="24" fillId="2" borderId="3" applyAlignment="1" pivotButton="0" quotePrefix="0" xfId="0">
      <alignment horizontal="center" vertical="center" shrinkToFit="1"/>
    </xf>
    <xf numFmtId="164" fontId="43" fillId="0" borderId="26" applyAlignment="1" pivotButton="0" quotePrefix="0" xfId="0">
      <alignment horizontal="center"/>
    </xf>
    <xf numFmtId="164" fontId="27" fillId="0" borderId="112" applyAlignment="1" pivotButton="0" quotePrefix="0" xfId="0">
      <alignment horizontal="center" shrinkToFit="1"/>
    </xf>
    <xf numFmtId="0" fontId="24" fillId="5" borderId="3" applyAlignment="1" pivotButton="0" quotePrefix="0" xfId="0">
      <alignment horizontal="center" vertical="center" shrinkToFit="1"/>
    </xf>
    <xf numFmtId="164" fontId="27" fillId="0" borderId="113" applyAlignment="1" pivotButton="0" quotePrefix="0" xfId="0">
      <alignment horizontal="center" shrinkToFit="1"/>
    </xf>
    <xf numFmtId="164" fontId="43" fillId="0" borderId="26" applyAlignment="1" pivotButton="0" quotePrefix="0" xfId="0">
      <alignment horizontal="center" shrinkToFit="1"/>
    </xf>
    <xf numFmtId="0" fontId="22" fillId="6" borderId="3" applyAlignment="1" pivotButton="0" quotePrefix="0" xfId="0">
      <alignment horizontal="center" vertical="center" shrinkToFit="1"/>
    </xf>
    <xf numFmtId="0" fontId="22" fillId="7" borderId="3" applyAlignment="1" pivotButton="0" quotePrefix="0" xfId="0">
      <alignment horizontal="center" vertical="center" shrinkToFit="1"/>
    </xf>
    <xf numFmtId="164" fontId="27" fillId="0" borderId="61" applyAlignment="1" pivotButton="0" quotePrefix="0" xfId="0">
      <alignment horizontal="center" shrinkToFit="1"/>
    </xf>
    <xf numFmtId="164" fontId="7" fillId="0" borderId="3" applyAlignment="1" pivotButton="0" quotePrefix="0" xfId="0">
      <alignment horizontal="center" shrinkToFit="1"/>
    </xf>
    <xf numFmtId="164" fontId="7" fillId="0" borderId="4" applyAlignment="1" pivotButton="0" quotePrefix="0" xfId="0">
      <alignment shrinkToFit="1"/>
    </xf>
    <xf numFmtId="0" fontId="0" fillId="0" borderId="160" pivotButton="0" quotePrefix="0" xfId="0"/>
    <xf numFmtId="0" fontId="0" fillId="0" borderId="88" pivotButton="0" quotePrefix="0" xfId="0"/>
    <xf numFmtId="0" fontId="0" fillId="0" borderId="90" pivotButton="0" quotePrefix="0" xfId="0"/>
    <xf numFmtId="165" fontId="0" fillId="0" borderId="133" applyAlignment="1" pivotButton="0" quotePrefix="0" xfId="0">
      <alignment horizontal="left"/>
    </xf>
    <xf numFmtId="165" fontId="0" fillId="0" borderId="143" applyAlignment="1" pivotButton="0" quotePrefix="0" xfId="0">
      <alignment horizontal="left"/>
    </xf>
    <xf numFmtId="165" fontId="0" fillId="0" borderId="15" applyAlignment="1" pivotButton="0" quotePrefix="0" xfId="0">
      <alignment horizontal="left"/>
    </xf>
    <xf numFmtId="165" fontId="0" fillId="0" borderId="9" applyAlignment="1" pivotButton="0" quotePrefix="0" xfId="0">
      <alignment horizontal="left"/>
    </xf>
    <xf numFmtId="165" fontId="0" fillId="0" borderId="141" applyAlignment="1" pivotButton="0" quotePrefix="0" xfId="0">
      <alignment horizontal="left"/>
    </xf>
    <xf numFmtId="165" fontId="0" fillId="0" borderId="12" applyAlignment="1" pivotButton="0" quotePrefix="0" xfId="0">
      <alignment horizontal="left"/>
    </xf>
    <xf numFmtId="165" fontId="0" fillId="0" borderId="146" applyAlignment="1" pivotButton="0" quotePrefix="0" xfId="0">
      <alignment horizontal="left"/>
    </xf>
    <xf numFmtId="165" fontId="0" fillId="0" borderId="136" applyAlignment="1" pivotButton="0" quotePrefix="0" xfId="0">
      <alignment horizontal="left"/>
    </xf>
    <xf numFmtId="165" fontId="0" fillId="0" borderId="147" applyAlignment="1" pivotButton="0" quotePrefix="0" xfId="0">
      <alignment horizontal="left"/>
    </xf>
    <xf numFmtId="165" fontId="0" fillId="0" borderId="83" applyAlignment="1" pivotButton="0" quotePrefix="0" xfId="0">
      <alignment horizontal="left"/>
    </xf>
    <xf numFmtId="165" fontId="0" fillId="0" borderId="43" applyAlignment="1" pivotButton="0" quotePrefix="0" xfId="0">
      <alignment horizontal="left"/>
    </xf>
    <xf numFmtId="165" fontId="0" fillId="0" borderId="148" applyAlignment="1" pivotButton="0" quotePrefix="0" xfId="0">
      <alignment horizontal="left"/>
    </xf>
    <xf numFmtId="165" fontId="0" fillId="0" borderId="149" applyAlignment="1" pivotButton="0" quotePrefix="0" xfId="0">
      <alignment horizontal="left"/>
    </xf>
    <xf numFmtId="165" fontId="0" fillId="0" borderId="24" applyAlignment="1" pivotButton="0" quotePrefix="0" xfId="0">
      <alignment horizontal="left"/>
    </xf>
    <xf numFmtId="165" fontId="0" fillId="0" borderId="39" applyAlignment="1" pivotButton="0" quotePrefix="0" xfId="0">
      <alignment horizontal="left"/>
    </xf>
    <xf numFmtId="165" fontId="0" fillId="0" borderId="8" applyAlignment="1" pivotButton="0" quotePrefix="0" xfId="0">
      <alignment horizontal="left"/>
    </xf>
    <xf numFmtId="165" fontId="0" fillId="0" borderId="11" applyAlignment="1" pivotButton="0" quotePrefix="0" xfId="0">
      <alignment horizontal="left"/>
    </xf>
    <xf numFmtId="165" fontId="32" fillId="0" borderId="16" applyAlignment="1" pivotButton="0" quotePrefix="0" xfId="0">
      <alignment shrinkToFit="1"/>
    </xf>
    <xf numFmtId="166" fontId="0" fillId="0" borderId="82" applyAlignment="1" pivotButton="0" quotePrefix="0" xfId="1">
      <alignment horizontal="right" shrinkToFit="1"/>
    </xf>
    <xf numFmtId="165" fontId="34" fillId="0" borderId="1" applyAlignment="1" pivotButton="0" quotePrefix="0" xfId="1">
      <alignment horizontal="right" shrinkToFit="1"/>
    </xf>
    <xf numFmtId="165" fontId="32" fillId="0" borderId="16" applyAlignment="1" pivotButton="0" quotePrefix="0" xfId="0">
      <alignment horizontal="right" shrinkToFit="1"/>
    </xf>
    <xf numFmtId="0" fontId="50" fillId="0" borderId="1" applyAlignment="1" pivotButton="0" quotePrefix="0" xfId="0">
      <alignment horizontal="center"/>
    </xf>
    <xf numFmtId="165" fontId="0" fillId="0" borderId="52" pivotButton="0" quotePrefix="0" xfId="0"/>
    <xf numFmtId="165" fontId="0" fillId="0" borderId="0" pivotButton="0" quotePrefix="0" xfId="0"/>
    <xf numFmtId="165" fontId="3" fillId="0" borderId="0" applyAlignment="1" pivotButton="0" quotePrefix="0" xfId="0">
      <alignment horizontal="center"/>
    </xf>
    <xf numFmtId="165" fontId="47" fillId="0" borderId="0" applyAlignment="1" pivotButton="0" quotePrefix="0" xfId="0">
      <alignment horizontal="center"/>
    </xf>
    <xf numFmtId="0" fontId="0" fillId="0" borderId="20" pivotButton="0" quotePrefix="0" xfId="0"/>
  </cellXfs>
  <cellStyles count="2">
    <cellStyle name="標準" xfId="0" builtinId="0"/>
    <cellStyle name="桁区切り" xfId="1" builtinId="6"/>
  </cellStyles>
  <dxfs count="55">
    <dxf>
      <font>
        <b val="1"/>
        <color rgb="FFFF0000"/>
      </font>
    </dxf>
    <dxf>
      <font>
        <b val="1"/>
        <color rgb="FFFF0000"/>
      </font>
      <fill>
        <patternFill patternType="gray125"/>
      </fill>
    </dxf>
    <dxf>
      <font>
        <b val="1"/>
        <color rgb="FFFF0000"/>
      </font>
      <fill>
        <patternFill patternType="gray125"/>
      </fill>
    </dxf>
    <dxf>
      <font>
        <b val="1"/>
        <color rgb="FFFF0000"/>
      </font>
      <fill>
        <patternFill patternType="gray125"/>
      </fill>
    </dxf>
    <dxf>
      <font>
        <b val="1"/>
        <color rgb="FFFF0000"/>
      </font>
      <fill>
        <patternFill patternType="gray125"/>
      </fill>
    </dxf>
    <dxf>
      <font>
        <b val="1"/>
        <color rgb="FFFF0000"/>
      </font>
      <fill>
        <patternFill patternType="gray125"/>
      </fill>
    </dxf>
    <dxf>
      <font>
        <b val="1"/>
        <color rgb="FF0070C0"/>
      </font>
      <fill>
        <patternFill patternType="gray125"/>
      </fill>
    </dxf>
    <dxf>
      <font>
        <b val="1"/>
        <color rgb="FFFF0000"/>
      </font>
      <fill>
        <patternFill>
          <bgColor theme="4" tint="0.5999633777886288"/>
        </patternFill>
      </fill>
    </dxf>
    <dxf>
      <font>
        <b val="1"/>
      </font>
    </dxf>
    <dxf>
      <font>
        <b val="1"/>
        <i val="1"/>
      </font>
      <fill>
        <patternFill patternType="gray125"/>
      </fill>
    </dxf>
    <dxf>
      <font>
        <b val="1"/>
        <color theme="8"/>
      </font>
    </dxf>
    <dxf>
      <font>
        <b val="1"/>
        <color rgb="FFFF0000"/>
      </font>
      <fill>
        <patternFill patternType="gray125"/>
      </fill>
    </dxf>
    <dxf>
      <font>
        <b val="1"/>
        <color rgb="FFFF0000"/>
      </font>
      <fill>
        <patternFill patternType="gray125"/>
      </fill>
    </dxf>
    <dxf>
      <font>
        <b val="1"/>
        <color rgb="FFFF0000"/>
      </font>
      <fill>
        <patternFill patternType="gray125"/>
      </fill>
    </dxf>
    <dxf>
      <font>
        <b val="1"/>
        <color rgb="FFFF0000"/>
      </font>
      <fill>
        <patternFill patternType="gray125"/>
      </fill>
    </dxf>
    <dxf>
      <font>
        <b val="1"/>
        <color rgb="FFFF0000"/>
      </font>
      <fill>
        <patternFill patternType="gray125"/>
      </fill>
    </dxf>
    <dxf>
      <font>
        <b val="1"/>
        <color rgb="FF0070C0"/>
      </font>
      <fill>
        <patternFill>
          <bgColor auto="1"/>
        </patternFill>
      </fill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i val="1"/>
        <color rgb="FFFF000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color rgb="FFFF0000"/>
      </font>
    </dxf>
    <dxf>
      <font>
        <b val="1"/>
        <color rgb="FF0070C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color rgb="FFFF0000"/>
      </font>
    </dxf>
    <dxf>
      <font>
        <b val="1"/>
        <color rgb="FF0070C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i val="1"/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U26"/>
  <sheetViews>
    <sheetView workbookViewId="0">
      <selection activeCell="A1" sqref="A1"/>
    </sheetView>
  </sheetViews>
  <sheetFormatPr baseColWidth="8" defaultRowHeight="18.75"/>
  <cols>
    <col width="4.375" customWidth="1" style="7" min="1" max="1"/>
    <col width="4" customWidth="1" style="21" min="2" max="2"/>
    <col width="4.875" customWidth="1" style="29" min="3" max="4"/>
    <col width="23.5" customWidth="1" style="7" min="5" max="5"/>
    <col width="4" customWidth="1" style="7" min="6" max="6"/>
    <col width="4.875" customWidth="1" style="13" min="7" max="8"/>
    <col width="23.5" customWidth="1" style="7" min="9" max="9"/>
    <col width="4" customWidth="1" style="7" min="10" max="10"/>
    <col width="4.875" customWidth="1" style="13" min="11" max="12"/>
    <col width="23.5" customWidth="1" style="7" min="13" max="13"/>
    <col width="4" customWidth="1" style="13" min="14" max="14"/>
    <col width="4.875" customWidth="1" style="13" min="15" max="16"/>
    <col width="23.5" customWidth="1" style="7" min="17" max="17"/>
    <col width="4" customWidth="1" style="13" min="18" max="18"/>
    <col width="4.875" customWidth="1" style="13" min="19" max="20"/>
    <col width="23.5" customWidth="1" style="7" min="21" max="21"/>
    <col width="9" customWidth="1" style="7" min="22" max="16384"/>
  </cols>
  <sheetData>
    <row r="1" ht="36.75" customHeight="1" thickBot="1">
      <c r="A1" s="46" t="n"/>
      <c r="B1" s="7" t="n"/>
      <c r="D1" s="13" t="n"/>
    </row>
    <row r="2" ht="36.75" customFormat="1" customHeight="1" s="25" thickBot="1">
      <c r="B2" s="24" t="n"/>
      <c r="C2" s="24" t="n"/>
      <c r="D2" s="24" t="n"/>
      <c r="E2" s="30" t="n"/>
      <c r="F2" s="31" t="n"/>
      <c r="G2" s="31" t="n"/>
      <c r="H2" s="31" t="n"/>
      <c r="I2" s="32" t="n"/>
      <c r="J2" s="32" t="n"/>
      <c r="K2" s="32" t="n"/>
      <c r="L2" s="32" t="n"/>
      <c r="M2" s="32" t="n"/>
      <c r="N2" s="32" t="n"/>
      <c r="O2" s="32" t="n"/>
      <c r="P2" s="32" t="n"/>
      <c r="Q2" s="47" t="n">
        <v>45648</v>
      </c>
      <c r="R2" s="32" t="n"/>
      <c r="S2" s="32" t="n"/>
      <c r="T2" s="32" t="n"/>
      <c r="U2" s="47" t="inlineStr">
        <is>
          <t>日曜日</t>
        </is>
      </c>
    </row>
    <row r="3" ht="24.75" customFormat="1" customHeight="1" s="27" thickBot="1">
      <c r="A3" s="26" t="n"/>
      <c r="B3" s="441" t="inlineStr">
        <is>
          <t>中山9R</t>
        </is>
      </c>
      <c r="C3" s="442" t="n"/>
      <c r="D3" s="442" t="n"/>
      <c r="E3" s="443" t="n"/>
      <c r="F3" s="441" t="inlineStr">
        <is>
          <t>京都10R</t>
        </is>
      </c>
      <c r="G3" s="442" t="n"/>
      <c r="H3" s="442" t="n"/>
      <c r="I3" s="443" t="n"/>
      <c r="J3" s="441" t="inlineStr">
        <is>
          <t>中山10R</t>
        </is>
      </c>
      <c r="K3" s="442" t="n"/>
      <c r="L3" s="442" t="n"/>
      <c r="M3" s="443" t="n"/>
      <c r="N3" s="361" t="inlineStr">
        <is>
          <t>京都11R</t>
        </is>
      </c>
      <c r="O3" s="442" t="n"/>
      <c r="P3" s="442" t="n"/>
      <c r="Q3" s="442" t="n"/>
      <c r="R3" s="441" t="inlineStr">
        <is>
          <t>中山11R</t>
        </is>
      </c>
      <c r="S3" s="442" t="n"/>
      <c r="T3" s="442" t="n"/>
      <c r="U3" s="443" t="n"/>
    </row>
    <row r="4" ht="24.75" customFormat="1" customHeight="1" s="27" thickBot="1">
      <c r="A4" s="26" t="n"/>
      <c r="B4" s="444" t="inlineStr">
        <is>
          <t>グッドラックハンデ（２５００ｍ）</t>
        </is>
      </c>
      <c r="C4" s="442" t="n"/>
      <c r="D4" s="442" t="n"/>
      <c r="E4" s="443" t="n"/>
      <c r="F4" s="444" t="inlineStr">
        <is>
          <t>サンタクロスS（2000ｍ）</t>
        </is>
      </c>
      <c r="G4" s="442" t="n"/>
      <c r="H4" s="442" t="n"/>
      <c r="I4" s="443" t="n"/>
      <c r="J4" s="444" t="inlineStr">
        <is>
          <t>オルフェーヴルC（1600ｍ）</t>
        </is>
      </c>
      <c r="K4" s="442" t="n"/>
      <c r="L4" s="442" t="n"/>
      <c r="M4" s="443" t="n"/>
      <c r="N4" s="364" t="inlineStr">
        <is>
          <t>りんくうステークス（1200ｍ）</t>
        </is>
      </c>
      <c r="O4" s="442" t="n"/>
      <c r="P4" s="442" t="n"/>
      <c r="Q4" s="442" t="n"/>
      <c r="R4" s="444" t="inlineStr">
        <is>
          <t>有馬記念（中山芝2500ｍ）</t>
        </is>
      </c>
      <c r="S4" s="442" t="n"/>
      <c r="T4" s="442" t="n"/>
      <c r="U4" s="443" t="n"/>
    </row>
    <row r="5" ht="24.75" customFormat="1" customHeight="1" s="22" thickBot="1">
      <c r="B5" s="18" t="inlineStr">
        <is>
          <t>馬番</t>
        </is>
      </c>
      <c r="C5" s="28" t="inlineStr">
        <is>
          <t>人気</t>
        </is>
      </c>
      <c r="D5" s="48" t="inlineStr">
        <is>
          <t>人気順</t>
        </is>
      </c>
      <c r="E5" s="16" t="inlineStr">
        <is>
          <t>１回目</t>
        </is>
      </c>
      <c r="F5" s="18" t="inlineStr">
        <is>
          <t>馬番</t>
        </is>
      </c>
      <c r="G5" s="28" t="inlineStr">
        <is>
          <t>人気</t>
        </is>
      </c>
      <c r="H5" s="48" t="inlineStr">
        <is>
          <t>人気順</t>
        </is>
      </c>
      <c r="I5" s="16" t="inlineStr">
        <is>
          <t>２回目</t>
        </is>
      </c>
      <c r="J5" s="18" t="inlineStr">
        <is>
          <t>馬番</t>
        </is>
      </c>
      <c r="K5" s="28" t="inlineStr">
        <is>
          <t>人気</t>
        </is>
      </c>
      <c r="L5" s="48" t="inlineStr">
        <is>
          <t>人気順</t>
        </is>
      </c>
      <c r="M5" s="16" t="inlineStr">
        <is>
          <t>３回目</t>
        </is>
      </c>
      <c r="N5" s="17" t="inlineStr">
        <is>
          <t>馬番</t>
        </is>
      </c>
      <c r="O5" s="28" t="inlineStr">
        <is>
          <t>人気</t>
        </is>
      </c>
      <c r="P5" s="48" t="inlineStr">
        <is>
          <t>人気順</t>
        </is>
      </c>
      <c r="Q5" s="17" t="inlineStr">
        <is>
          <t>４回目</t>
        </is>
      </c>
      <c r="R5" s="18" t="inlineStr">
        <is>
          <t>馬番</t>
        </is>
      </c>
      <c r="S5" s="28" t="inlineStr">
        <is>
          <t>人気</t>
        </is>
      </c>
      <c r="T5" s="48" t="inlineStr">
        <is>
          <t>人気順</t>
        </is>
      </c>
      <c r="U5" s="16" t="inlineStr">
        <is>
          <t>５回目</t>
        </is>
      </c>
    </row>
    <row r="6" ht="27.75" customFormat="1" customHeight="1" s="5">
      <c r="B6" s="23" t="n"/>
      <c r="C6" s="52" t="n"/>
      <c r="D6" s="49" t="n">
        <v>1</v>
      </c>
      <c r="E6" s="42" t="inlineStr">
        <is>
          <t>アイザックバローズ57川田将雅</t>
        </is>
      </c>
      <c r="F6" s="23" t="n"/>
      <c r="G6" s="52" t="n"/>
      <c r="H6" s="49" t="n">
        <v>1</v>
      </c>
      <c r="I6" s="42" t="inlineStr">
        <is>
          <t>エラトー牝３</t>
        </is>
      </c>
      <c r="J6" s="23" t="n"/>
      <c r="K6" s="52" t="n"/>
      <c r="L6" s="49" t="n">
        <v>1</v>
      </c>
      <c r="M6" s="42" t="inlineStr">
        <is>
          <t>アーレンダール牝５</t>
        </is>
      </c>
      <c r="N6" s="8" t="n"/>
      <c r="O6" s="52" t="n"/>
      <c r="P6" s="49" t="n">
        <v>1</v>
      </c>
      <c r="Q6" s="38" t="inlineStr">
        <is>
          <t>エランティス55牝４</t>
        </is>
      </c>
      <c r="R6" s="34" t="n">
        <v>1</v>
      </c>
      <c r="S6" s="52" t="n"/>
      <c r="T6" s="49" t="n">
        <v>1</v>
      </c>
      <c r="U6" s="35" t="inlineStr">
        <is>
          <t>ダノンデサイル横山典弘</t>
        </is>
      </c>
    </row>
    <row r="7" ht="27.75" customFormat="1" customHeight="1" s="5">
      <c r="B7" s="14" t="n"/>
      <c r="C7" s="53" t="n"/>
      <c r="D7" s="50" t="n">
        <v>2</v>
      </c>
      <c r="E7" s="43" t="inlineStr">
        <is>
          <t>アバンデル55</t>
        </is>
      </c>
      <c r="F7" s="14" t="n"/>
      <c r="G7" s="53" t="n"/>
      <c r="H7" s="50" t="n">
        <v>2</v>
      </c>
      <c r="I7" s="43" t="inlineStr">
        <is>
          <t>エリダヌス牝４</t>
        </is>
      </c>
      <c r="J7" s="14" t="n"/>
      <c r="K7" s="53" t="n"/>
      <c r="L7" s="50" t="n">
        <v>2</v>
      </c>
      <c r="M7" s="43" t="inlineStr">
        <is>
          <t>ウインアイオライト牝４T.マーカンド</t>
        </is>
      </c>
      <c r="N7" s="9" t="n"/>
      <c r="O7" s="53" t="n"/>
      <c r="P7" s="50" t="n">
        <v>2</v>
      </c>
      <c r="Q7" s="39" t="inlineStr">
        <is>
          <t>エーティーマクフィ57</t>
        </is>
      </c>
      <c r="R7" s="33" t="n">
        <v>2</v>
      </c>
      <c r="S7" s="53" t="n"/>
      <c r="T7" s="50" t="n">
        <v>2</v>
      </c>
      <c r="U7" s="36" t="inlineStr">
        <is>
          <t>ドゥデュース武豊</t>
        </is>
      </c>
    </row>
    <row r="8" ht="27.75" customFormat="1" customHeight="1" s="5">
      <c r="B8" s="14" t="n"/>
      <c r="C8" s="54" t="n"/>
      <c r="D8" s="50" t="n">
        <v>3</v>
      </c>
      <c r="E8" s="43" t="inlineStr">
        <is>
          <t>ウインマイルート56H.ドイル</t>
        </is>
      </c>
      <c r="F8" s="14" t="n"/>
      <c r="G8" s="54" t="n"/>
      <c r="H8" s="50" t="n">
        <v>3</v>
      </c>
      <c r="I8" s="43" t="inlineStr">
        <is>
          <t>ガイアメンテ</t>
        </is>
      </c>
      <c r="J8" s="14" t="n"/>
      <c r="K8" s="54" t="n"/>
      <c r="L8" s="50" t="n">
        <v>3</v>
      </c>
      <c r="M8" s="43" t="inlineStr">
        <is>
          <t>ウインレイアー牝４Ｈ．ドイル</t>
        </is>
      </c>
      <c r="N8" s="9" t="n"/>
      <c r="O8" s="54" t="n"/>
      <c r="P8" s="50" t="n">
        <v>3</v>
      </c>
      <c r="Q8" s="40" t="inlineStr">
        <is>
          <t>オメガシンフォニー55牝４</t>
        </is>
      </c>
      <c r="R8" s="14" t="n">
        <v>3</v>
      </c>
      <c r="S8" s="54" t="n"/>
      <c r="T8" s="50" t="n">
        <v>3</v>
      </c>
      <c r="U8" s="36" t="inlineStr">
        <is>
          <t>アーバンシックＣ．ルメール</t>
        </is>
      </c>
    </row>
    <row r="9" ht="27.75" customFormat="1" customHeight="1" s="5">
      <c r="B9" s="14" t="n"/>
      <c r="C9" s="54" t="n"/>
      <c r="D9" s="50" t="n">
        <v>4</v>
      </c>
      <c r="E9" s="43" t="inlineStr">
        <is>
          <t>オリエンタルナイト54戸崎圭太</t>
        </is>
      </c>
      <c r="F9" s="14" t="n"/>
      <c r="G9" s="54" t="n"/>
      <c r="H9" s="50" t="n">
        <v>4</v>
      </c>
      <c r="I9" s="44" t="inlineStr">
        <is>
          <t>ゲンパチムサシ</t>
        </is>
      </c>
      <c r="J9" s="14" t="n"/>
      <c r="K9" s="54" t="n"/>
      <c r="L9" s="50" t="n">
        <v>4</v>
      </c>
      <c r="M9" s="43" t="inlineStr">
        <is>
          <t>ケイケイ騙3</t>
        </is>
      </c>
      <c r="N9" s="9" t="n"/>
      <c r="O9" s="54" t="n"/>
      <c r="P9" s="50" t="n">
        <v>4</v>
      </c>
      <c r="Q9" s="39" t="inlineStr">
        <is>
          <t>カルネアサーダ56牝５</t>
        </is>
      </c>
      <c r="R9" s="33" t="n">
        <v>4</v>
      </c>
      <c r="S9" s="54" t="n"/>
      <c r="T9" s="50" t="n">
        <v>4</v>
      </c>
      <c r="U9" s="36" t="inlineStr">
        <is>
          <t>ブローザホーン菅原明良</t>
        </is>
      </c>
    </row>
    <row r="10" ht="27.75" customFormat="1" customHeight="1" s="5">
      <c r="B10" s="14" t="n"/>
      <c r="C10" s="57" t="n"/>
      <c r="D10" s="50" t="n">
        <v>5</v>
      </c>
      <c r="E10" s="43" t="inlineStr">
        <is>
          <t>カナオールウェイズ54C.デムーロ</t>
        </is>
      </c>
      <c r="F10" s="14" t="n"/>
      <c r="G10" s="55" t="n"/>
      <c r="H10" s="50" t="n">
        <v>5</v>
      </c>
      <c r="I10" s="43" t="inlineStr">
        <is>
          <t>シャザーン</t>
        </is>
      </c>
      <c r="J10" s="14" t="n"/>
      <c r="K10" s="55" t="n"/>
      <c r="L10" s="50" t="n">
        <v>5</v>
      </c>
      <c r="M10" s="43" t="inlineStr">
        <is>
          <t>サロニコスC.デムーロ</t>
        </is>
      </c>
      <c r="N10" s="9" t="n"/>
      <c r="O10" s="55" t="n"/>
      <c r="P10" s="50" t="n">
        <v>5</v>
      </c>
      <c r="Q10" s="40" t="inlineStr">
        <is>
          <t>クリノマジン57</t>
        </is>
      </c>
      <c r="R10" s="14" t="n">
        <v>5</v>
      </c>
      <c r="S10" s="55" t="n"/>
      <c r="T10" s="50" t="n">
        <v>5</v>
      </c>
      <c r="U10" s="36" t="inlineStr">
        <is>
          <t>ベラジオオペラ横山和生</t>
        </is>
      </c>
    </row>
    <row r="11" ht="27.75" customFormat="1" customHeight="1" s="5">
      <c r="B11" s="14" t="n"/>
      <c r="C11" s="54" t="n"/>
      <c r="D11" s="50" t="n">
        <v>6</v>
      </c>
      <c r="E11" s="43" t="inlineStr">
        <is>
          <t>グランアルティスタ55武豊</t>
        </is>
      </c>
      <c r="F11" s="14" t="n"/>
      <c r="G11" s="54" t="n"/>
      <c r="H11" s="50" t="n">
        <v>6</v>
      </c>
      <c r="I11" s="43" t="inlineStr">
        <is>
          <t>シュタールヴィント</t>
        </is>
      </c>
      <c r="J11" s="14" t="n"/>
      <c r="K11" s="54" t="n"/>
      <c r="L11" s="50" t="n">
        <v>6</v>
      </c>
      <c r="M11" s="43" t="inlineStr">
        <is>
          <t>ジッピーレーサー</t>
        </is>
      </c>
      <c r="N11" s="9" t="n"/>
      <c r="O11" s="54" t="n"/>
      <c r="P11" s="50" t="n">
        <v>6</v>
      </c>
      <c r="Q11" s="39" t="inlineStr">
        <is>
          <t>ジャングロ59団野大成</t>
        </is>
      </c>
      <c r="R11" s="14" t="n">
        <v>6</v>
      </c>
      <c r="S11" s="54" t="n"/>
      <c r="T11" s="50" t="n">
        <v>6</v>
      </c>
      <c r="U11" s="36" t="inlineStr">
        <is>
          <t>ローシャムパークT.マーカンド</t>
        </is>
      </c>
    </row>
    <row r="12" ht="27.75" customFormat="1" customHeight="1" s="5">
      <c r="B12" s="14" t="n"/>
      <c r="C12" s="54" t="n"/>
      <c r="D12" s="50" t="n">
        <v>7</v>
      </c>
      <c r="E12" s="44" t="inlineStr">
        <is>
          <t>サンライズソレイユ55坂井瑠星</t>
        </is>
      </c>
      <c r="F12" s="14" t="n"/>
      <c r="G12" s="54" t="n"/>
      <c r="H12" s="50" t="n">
        <v>7</v>
      </c>
      <c r="I12" s="43" t="inlineStr">
        <is>
          <t>セレブレイトガイズ</t>
        </is>
      </c>
      <c r="J12" s="14" t="n"/>
      <c r="K12" s="54" t="n"/>
      <c r="L12" s="50" t="n">
        <v>7</v>
      </c>
      <c r="M12" s="43" t="inlineStr">
        <is>
          <t>ツルマウカタチ</t>
        </is>
      </c>
      <c r="N12" s="9" t="n"/>
      <c r="O12" s="54" t="n"/>
      <c r="P12" s="50" t="n">
        <v>7</v>
      </c>
      <c r="Q12" s="39" t="inlineStr">
        <is>
          <t>ジョーローリット54M.デムーロ</t>
        </is>
      </c>
      <c r="R12" s="14" t="n">
        <v>7</v>
      </c>
      <c r="S12" s="54" t="n"/>
      <c r="T12" s="50" t="n">
        <v>7</v>
      </c>
      <c r="U12" s="36" t="inlineStr">
        <is>
          <t>スターズオンアース川田将雅</t>
        </is>
      </c>
    </row>
    <row r="13" ht="27.75" customFormat="1" customHeight="1" s="5">
      <c r="B13" s="14" t="n"/>
      <c r="C13" s="54" t="n"/>
      <c r="D13" s="50" t="n">
        <v>8</v>
      </c>
      <c r="E13" s="43" t="inlineStr">
        <is>
          <t>シュプリーム54</t>
        </is>
      </c>
      <c r="F13" s="14" t="n"/>
      <c r="G13" s="54" t="n"/>
      <c r="H13" s="50" t="n">
        <v>8</v>
      </c>
      <c r="I13" s="43" t="inlineStr">
        <is>
          <t>ドットクルー</t>
        </is>
      </c>
      <c r="J13" s="14" t="n"/>
      <c r="K13" s="54" t="n"/>
      <c r="L13" s="50" t="n">
        <v>8</v>
      </c>
      <c r="M13" s="43" t="inlineStr">
        <is>
          <t>トーセントラム</t>
        </is>
      </c>
      <c r="N13" s="9" t="n"/>
      <c r="O13" s="54" t="n"/>
      <c r="P13" s="50" t="n">
        <v>8</v>
      </c>
      <c r="Q13" s="39" t="inlineStr">
        <is>
          <t>スターターン56</t>
        </is>
      </c>
      <c r="R13" s="33" t="n">
        <v>8</v>
      </c>
      <c r="S13" s="54" t="n"/>
      <c r="T13" s="50" t="n">
        <v>8</v>
      </c>
      <c r="U13" s="36" t="inlineStr">
        <is>
          <t>レガレイラ戸崎圭太</t>
        </is>
      </c>
    </row>
    <row r="14" ht="27.75" customFormat="1" customHeight="1" s="5">
      <c r="B14" s="14" t="n"/>
      <c r="C14" s="54" t="n"/>
      <c r="D14" s="50" t="n">
        <v>9</v>
      </c>
      <c r="E14" s="43" t="inlineStr">
        <is>
          <t>スズノマーベリック55騙8</t>
        </is>
      </c>
      <c r="F14" s="14" t="n"/>
      <c r="G14" s="54" t="n"/>
      <c r="H14" s="50" t="n">
        <v>9</v>
      </c>
      <c r="I14" s="43" t="inlineStr">
        <is>
          <t>ニホンピロタイズ</t>
        </is>
      </c>
      <c r="J14" s="14" t="n"/>
      <c r="K14" s="54" t="n"/>
      <c r="L14" s="50" t="n">
        <v>9</v>
      </c>
      <c r="M14" s="43" t="inlineStr">
        <is>
          <t>ハワイアンタイム　騙４</t>
        </is>
      </c>
      <c r="N14" s="9" t="n"/>
      <c r="O14" s="54" t="n"/>
      <c r="P14" s="50" t="n">
        <v>9</v>
      </c>
      <c r="Q14" s="39" t="inlineStr">
        <is>
          <t>ダノンセシボン55牝４</t>
        </is>
      </c>
      <c r="R14" s="14" t="n">
        <v>9</v>
      </c>
      <c r="S14" s="54" t="n"/>
      <c r="T14" s="50" t="n">
        <v>9</v>
      </c>
      <c r="U14" s="36" t="inlineStr">
        <is>
          <t>ディープボンド幸英明</t>
        </is>
      </c>
    </row>
    <row r="15" ht="27.75" customFormat="1" customHeight="1" s="5">
      <c r="B15" s="14" t="n"/>
      <c r="C15" s="54" t="n"/>
      <c r="D15" s="50" t="n">
        <v>10</v>
      </c>
      <c r="E15" s="43" t="inlineStr">
        <is>
          <t>スティンガーグラス56C.ルメール</t>
        </is>
      </c>
      <c r="F15" s="14" t="n"/>
      <c r="G15" s="54" t="n"/>
      <c r="H15" s="50" t="n">
        <v>10</v>
      </c>
      <c r="I15" s="43" t="inlineStr">
        <is>
          <t>ニューノーマル牝5</t>
        </is>
      </c>
      <c r="J15" s="14" t="n"/>
      <c r="K15" s="54" t="n"/>
      <c r="L15" s="50" t="n">
        <v>10</v>
      </c>
      <c r="M15" s="43" t="inlineStr">
        <is>
          <t>ピックアチェリー牝３</t>
        </is>
      </c>
      <c r="N15" s="9" t="n"/>
      <c r="O15" s="54" t="n"/>
      <c r="P15" s="50" t="n">
        <v>10</v>
      </c>
      <c r="Q15" s="39" t="inlineStr">
        <is>
          <t>ドンアミティエ57</t>
        </is>
      </c>
      <c r="R15" s="14" t="n">
        <v>10</v>
      </c>
      <c r="S15" s="54" t="n"/>
      <c r="T15" s="50" t="n">
        <v>10</v>
      </c>
      <c r="U15" s="36" t="inlineStr">
        <is>
          <t>プログノーシス三浦皇成</t>
        </is>
      </c>
    </row>
    <row r="16" ht="27.75" customFormat="1" customHeight="1" s="5">
      <c r="B16" s="14" t="n"/>
      <c r="C16" s="54" t="n"/>
      <c r="D16" s="50" t="n">
        <v>11</v>
      </c>
      <c r="E16" s="43" t="inlineStr">
        <is>
          <t>スピーディブレイク55T.マーカンド</t>
        </is>
      </c>
      <c r="F16" s="14" t="n"/>
      <c r="G16" s="54" t="n"/>
      <c r="H16" s="50" t="n">
        <v>11</v>
      </c>
      <c r="I16" s="43" t="inlineStr">
        <is>
          <t>ホウオウプロサンゲ</t>
        </is>
      </c>
      <c r="J16" s="14" t="n"/>
      <c r="K16" s="54" t="n"/>
      <c r="L16" s="50" t="n">
        <v>11</v>
      </c>
      <c r="M16" s="43" t="inlineStr">
        <is>
          <t>ブルトンクール牝５</t>
        </is>
      </c>
      <c r="N16" s="9" t="n"/>
      <c r="O16" s="54" t="n"/>
      <c r="P16" s="50" t="n">
        <v>11</v>
      </c>
      <c r="Q16" s="39" t="inlineStr">
        <is>
          <t>ハチメンロッピ57</t>
        </is>
      </c>
      <c r="R16" s="33" t="n">
        <v>11</v>
      </c>
      <c r="S16" s="54" t="n"/>
      <c r="T16" s="50" t="n">
        <v>11</v>
      </c>
      <c r="U16" s="36" t="inlineStr">
        <is>
          <t>ジャスティンパレス坂井瑠星</t>
        </is>
      </c>
    </row>
    <row r="17" ht="27.75" customFormat="1" customHeight="1" s="5">
      <c r="B17" s="14" t="n"/>
      <c r="C17" s="54" t="n"/>
      <c r="D17" s="50" t="n">
        <v>12</v>
      </c>
      <c r="E17" s="43" t="inlineStr">
        <is>
          <t>ノーブルクライ56</t>
        </is>
      </c>
      <c r="F17" s="14" t="n"/>
      <c r="G17" s="54" t="n"/>
      <c r="H17" s="50" t="n">
        <v>12</v>
      </c>
      <c r="I17" s="43" t="inlineStr">
        <is>
          <t>モズロックンロール</t>
        </is>
      </c>
      <c r="J17" s="14" t="n"/>
      <c r="K17" s="54" t="n"/>
      <c r="L17" s="50" t="n">
        <v>12</v>
      </c>
      <c r="M17" s="44" t="inlineStr">
        <is>
          <t>ユキノロイヤル</t>
        </is>
      </c>
      <c r="N17" s="9" t="n"/>
      <c r="O17" s="54" t="n"/>
      <c r="P17" s="50" t="n">
        <v>12</v>
      </c>
      <c r="Q17" s="39" t="inlineStr">
        <is>
          <t>パラシュラーマ57</t>
        </is>
      </c>
      <c r="R17" s="33" t="n">
        <v>12</v>
      </c>
      <c r="S17" s="54" t="n"/>
      <c r="T17" s="50" t="n">
        <v>12</v>
      </c>
      <c r="U17" s="36" t="inlineStr">
        <is>
          <t>シュトルーヴェ鮫島克駿</t>
        </is>
      </c>
    </row>
    <row r="18" ht="27.75" customFormat="1" customHeight="1" s="5">
      <c r="B18" s="14" t="n"/>
      <c r="C18" s="54" t="n"/>
      <c r="D18" s="50" t="n">
        <v>13</v>
      </c>
      <c r="E18" s="43" t="inlineStr">
        <is>
          <t>ハイラント54</t>
        </is>
      </c>
      <c r="F18" s="14" t="n"/>
      <c r="G18" s="54" t="n"/>
      <c r="H18" s="50" t="n">
        <v>13</v>
      </c>
      <c r="I18" s="43" t="inlineStr">
        <is>
          <t>ロワンディシー</t>
        </is>
      </c>
      <c r="J18" s="14" t="n"/>
      <c r="K18" s="54" t="n"/>
      <c r="L18" s="50" t="n">
        <v>13</v>
      </c>
      <c r="M18" s="43" t="inlineStr">
        <is>
          <t>ララマセラシオン</t>
        </is>
      </c>
      <c r="N18" s="9" t="n"/>
      <c r="O18" s="54" t="n"/>
      <c r="P18" s="50" t="n">
        <v>13</v>
      </c>
      <c r="Q18" s="39" t="inlineStr">
        <is>
          <t>ファーンヒル57</t>
        </is>
      </c>
      <c r="R18" s="14" t="n">
        <v>13</v>
      </c>
      <c r="S18" s="54" t="n"/>
      <c r="T18" s="50" t="n">
        <v>13</v>
      </c>
      <c r="U18" s="36" t="inlineStr">
        <is>
          <t>スタンニングローズR.ムーア</t>
        </is>
      </c>
    </row>
    <row r="19" ht="27.75" customFormat="1" customHeight="1" s="5">
      <c r="B19" s="14" t="n"/>
      <c r="C19" s="54" t="n"/>
      <c r="D19" s="50" t="n">
        <v>14</v>
      </c>
      <c r="E19" s="43" t="inlineStr">
        <is>
          <t>プレイリードリーム56</t>
        </is>
      </c>
      <c r="F19" s="14" t="n"/>
      <c r="G19" s="54" t="n"/>
      <c r="H19" s="50" t="n">
        <v>14</v>
      </c>
      <c r="I19" s="43" t="inlineStr">
        <is>
          <t>ワイドアラジン団野大成</t>
        </is>
      </c>
      <c r="J19" s="14" t="n"/>
      <c r="K19" s="54" t="n"/>
      <c r="L19" s="50" t="n">
        <v>14</v>
      </c>
      <c r="M19" s="43" t="inlineStr">
        <is>
          <t>ラレーヌデリス牝４戸崎圭太</t>
        </is>
      </c>
      <c r="N19" s="9" t="n"/>
      <c r="O19" s="54" t="n"/>
      <c r="P19" s="50" t="n">
        <v>14</v>
      </c>
      <c r="Q19" s="40" t="inlineStr">
        <is>
          <t>ボナンザ57</t>
        </is>
      </c>
      <c r="R19" s="14" t="n">
        <v>14</v>
      </c>
      <c r="S19" s="54" t="n"/>
      <c r="T19" s="50" t="n">
        <v>14</v>
      </c>
      <c r="U19" s="36" t="inlineStr">
        <is>
          <t>ダノンベルーガ松山弘平</t>
        </is>
      </c>
    </row>
    <row r="20" ht="27.75" customFormat="1" customHeight="1" s="5">
      <c r="B20" s="14" t="n"/>
      <c r="C20" s="54" t="n"/>
      <c r="D20" s="50" t="n">
        <v>15</v>
      </c>
      <c r="E20" s="43" t="inlineStr">
        <is>
          <t>フロムナウオン55</t>
        </is>
      </c>
      <c r="F20" s="14" t="n"/>
      <c r="G20" s="54" t="n"/>
      <c r="H20" s="50" t="n">
        <v>15</v>
      </c>
      <c r="I20" s="43" t="n"/>
      <c r="J20" s="14" t="n"/>
      <c r="K20" s="54" t="n"/>
      <c r="L20" s="50" t="n">
        <v>15</v>
      </c>
      <c r="M20" s="43" t="inlineStr">
        <is>
          <t>ルージュイストリア牝４</t>
        </is>
      </c>
      <c r="N20" s="9" t="n"/>
      <c r="O20" s="54" t="n"/>
      <c r="P20" s="50" t="n">
        <v>15</v>
      </c>
      <c r="Q20" s="39" t="inlineStr">
        <is>
          <t>メズメライザー57騙5</t>
        </is>
      </c>
      <c r="R20" s="14" t="n">
        <v>15</v>
      </c>
      <c r="S20" s="54" t="n"/>
      <c r="T20" s="50" t="n">
        <v>15</v>
      </c>
      <c r="U20" s="36" t="inlineStr">
        <is>
          <t>ハヤヤッコ吉田豊</t>
        </is>
      </c>
    </row>
    <row r="21" ht="27.75" customFormat="1" customHeight="1" s="5">
      <c r="B21" s="14" t="n"/>
      <c r="C21" s="54" t="n"/>
      <c r="D21" s="50" t="n">
        <v>16</v>
      </c>
      <c r="E21" s="43" t="inlineStr">
        <is>
          <t>ホウオウサンデー</t>
        </is>
      </c>
      <c r="F21" s="14" t="n"/>
      <c r="G21" s="54" t="n"/>
      <c r="H21" s="50" t="n">
        <v>16</v>
      </c>
      <c r="I21" s="43" t="n"/>
      <c r="J21" s="14" t="n"/>
      <c r="K21" s="54" t="n"/>
      <c r="L21" s="50" t="n">
        <v>16</v>
      </c>
      <c r="M21" s="43" t="inlineStr">
        <is>
          <t>ロゼル</t>
        </is>
      </c>
      <c r="N21" s="9" t="n"/>
      <c r="O21" s="54" t="n"/>
      <c r="P21" s="50" t="n">
        <v>16</v>
      </c>
      <c r="Q21" s="39" t="inlineStr">
        <is>
          <t>ロードラディウス57</t>
        </is>
      </c>
      <c r="R21" s="14" t="n">
        <v>16</v>
      </c>
      <c r="S21" s="54" t="n"/>
      <c r="T21" s="50" t="n">
        <v>16</v>
      </c>
      <c r="U21" s="36" t="inlineStr">
        <is>
          <t>シャフリヤールC.デムーロ</t>
        </is>
      </c>
    </row>
    <row r="22" ht="27.75" customFormat="1" customHeight="1" s="5">
      <c r="B22" s="14" t="n"/>
      <c r="C22" s="54" t="n"/>
      <c r="D22" s="50" t="n">
        <v>17</v>
      </c>
      <c r="E22" s="43" t="n"/>
      <c r="F22" s="14" t="n"/>
      <c r="G22" s="54" t="n"/>
      <c r="H22" s="50" t="n">
        <v>17</v>
      </c>
      <c r="I22" s="43" t="n"/>
      <c r="J22" s="14" t="n"/>
      <c r="K22" s="54" t="n"/>
      <c r="L22" s="50" t="n">
        <v>17</v>
      </c>
      <c r="M22" s="43" t="n"/>
      <c r="N22" s="9" t="n"/>
      <c r="O22" s="54" t="n"/>
      <c r="P22" s="50" t="n">
        <v>17</v>
      </c>
      <c r="Q22" s="39" t="n"/>
      <c r="R22" s="14" t="n">
        <v>17</v>
      </c>
      <c r="S22" s="54" t="n"/>
      <c r="T22" s="50" t="n">
        <v>17</v>
      </c>
      <c r="U22" s="36" t="n"/>
    </row>
    <row r="23" ht="27.75" customFormat="1" customHeight="1" s="5" thickBot="1">
      <c r="B23" s="15" t="n"/>
      <c r="C23" s="56" t="n"/>
      <c r="D23" s="51" t="n">
        <v>18</v>
      </c>
      <c r="E23" s="45" t="n"/>
      <c r="F23" s="15" t="n"/>
      <c r="G23" s="56" t="n"/>
      <c r="H23" s="51" t="n">
        <v>18</v>
      </c>
      <c r="I23" s="45" t="n"/>
      <c r="J23" s="15" t="n"/>
      <c r="K23" s="56" t="n"/>
      <c r="L23" s="51" t="n">
        <v>18</v>
      </c>
      <c r="M23" s="45" t="n"/>
      <c r="N23" s="10" t="n"/>
      <c r="O23" s="56" t="n"/>
      <c r="P23" s="51" t="n">
        <v>18</v>
      </c>
      <c r="Q23" s="41" t="n"/>
      <c r="R23" s="15" t="n">
        <v>18</v>
      </c>
      <c r="S23" s="56" t="n"/>
      <c r="T23" s="51" t="n">
        <v>18</v>
      </c>
      <c r="U23" s="37" t="n"/>
    </row>
    <row r="24" customFormat="1" s="5">
      <c r="B24" s="6" t="n"/>
      <c r="C24" s="11" t="n"/>
      <c r="D24" s="11" t="n"/>
      <c r="E24" s="6" t="n"/>
      <c r="F24" s="6" t="n"/>
      <c r="G24" s="11" t="n"/>
      <c r="H24" s="11" t="n"/>
      <c r="I24" s="6" t="n"/>
      <c r="J24" s="6" t="n"/>
      <c r="K24" s="11" t="n"/>
      <c r="L24" s="11" t="n"/>
      <c r="M24" s="6" t="n"/>
      <c r="N24" s="11" t="n"/>
      <c r="O24" s="11" t="n"/>
      <c r="P24" s="11" t="n"/>
      <c r="Q24" s="6" t="n"/>
      <c r="R24" s="11" t="n"/>
      <c r="S24" s="11" t="n"/>
      <c r="T24" s="11" t="n"/>
      <c r="U24" s="6" t="n"/>
    </row>
    <row r="25" customFormat="1" s="5">
      <c r="B25" s="6" t="n"/>
      <c r="C25" s="11" t="n"/>
      <c r="D25" s="11" t="n"/>
      <c r="G25" s="12" t="n"/>
      <c r="H25" s="12" t="n"/>
      <c r="K25" s="12" t="n"/>
      <c r="L25" s="12" t="n"/>
      <c r="N25" s="12" t="n"/>
      <c r="O25" s="12" t="n"/>
      <c r="P25" s="12" t="n"/>
      <c r="R25" s="12" t="n"/>
      <c r="S25" s="12" t="n"/>
      <c r="T25" s="12" t="n"/>
    </row>
    <row r="26" customFormat="1" s="5">
      <c r="B26" s="6" t="n"/>
      <c r="C26" s="11" t="n"/>
      <c r="D26" s="11" t="n"/>
      <c r="G26" s="12" t="n"/>
      <c r="H26" s="12" t="n"/>
      <c r="K26" s="12" t="n"/>
      <c r="L26" s="12" t="n"/>
      <c r="N26" s="12" t="n"/>
      <c r="O26" s="12" t="n"/>
      <c r="P26" s="12" t="n"/>
      <c r="R26" s="12" t="n"/>
      <c r="S26" s="12" t="n"/>
      <c r="T26" s="12" t="n"/>
    </row>
  </sheetData>
  <mergeCells count="10">
    <mergeCell ref="R3:U3"/>
    <mergeCell ref="B4:E4"/>
    <mergeCell ref="R4:U4"/>
    <mergeCell ref="F3:I3"/>
    <mergeCell ref="F4:I4"/>
    <mergeCell ref="J3:M3"/>
    <mergeCell ref="J4:M4"/>
    <mergeCell ref="N3:Q3"/>
    <mergeCell ref="N4:Q4"/>
    <mergeCell ref="B3:E3"/>
  </mergeCells>
  <conditionalFormatting sqref="C6:D23">
    <cfRule type="expression" priority="2" dxfId="17">
      <formula>"10&gt;"</formula>
    </cfRule>
  </conditionalFormatting>
  <conditionalFormatting sqref="G6:H23 K6:L23 O6:P23 S6:T23">
    <cfRule type="expression" priority="1" dxfId="17">
      <formula>"10&gt;"</formula>
    </cfRule>
  </conditionalFormatting>
  <pageMargins left="0.39" right="0.1968503937007874" top="0.53" bottom="0.1968503937007874" header="0.79" footer="0.2"/>
  <pageSetup orientation="landscape" paperSize="9" scale="78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M38"/>
  <sheetViews>
    <sheetView topLeftCell="A2" zoomScale="55" zoomScaleNormal="55" workbookViewId="0">
      <selection activeCell="AP2" sqref="AP2"/>
    </sheetView>
  </sheetViews>
  <sheetFormatPr baseColWidth="8" defaultRowHeight="21.75"/>
  <cols>
    <col width="5.625" customWidth="1" style="59" min="1" max="1"/>
    <col width="5.625" customWidth="1" style="68" min="2" max="4"/>
    <col width="7.125" customWidth="1" style="11" min="5" max="5"/>
    <col width="22.375" customWidth="1" style="5" min="6" max="6"/>
    <col width="5.5" customWidth="1" style="5" min="7" max="7"/>
    <col width="5.125" customWidth="1" style="5" min="8" max="8"/>
    <col width="10.375" customWidth="1" style="5" min="9" max="9"/>
    <col hidden="1" width="4.625" customWidth="1" style="5" min="10" max="10"/>
    <col hidden="1" width="5.375" customWidth="1" style="5" min="11" max="11"/>
    <col hidden="1" width="6.25" customWidth="1" style="5" min="12" max="12"/>
    <col hidden="1" width="5.375" customWidth="1" style="5" min="13" max="13"/>
    <col width="5.375" customWidth="1" style="68" min="14" max="14"/>
    <col width="6.375" customWidth="1" style="68" min="15" max="15"/>
    <col width="6.5" customWidth="1" style="68" min="16" max="16"/>
    <col width="7.875" customWidth="1" style="12" min="17" max="17"/>
    <col width="20.875" customWidth="1" style="5" min="18" max="18"/>
    <col width="4.875" customWidth="1" style="5" min="19" max="19"/>
    <col width="4.75" customWidth="1" style="5" min="20" max="20"/>
    <col width="11.25" customWidth="1" style="5" min="21" max="21"/>
    <col hidden="1" width="2.625" customWidth="1" style="5" min="22" max="22"/>
    <col hidden="1" width="3" customWidth="1" style="5" min="23" max="23"/>
    <col hidden="1" width="4.625" customWidth="1" style="5" min="24" max="25"/>
    <col width="5.125" customWidth="1" style="68" min="26" max="26"/>
    <col width="5.875" customWidth="1" style="68" min="27" max="28"/>
    <col width="6.875" customWidth="1" style="12" min="29" max="29"/>
    <col width="20.875" customWidth="1" style="5" min="30" max="30"/>
    <col width="4.875" customWidth="1" style="5" min="31" max="31"/>
    <col width="5.125" customWidth="1" style="5" min="32" max="32"/>
    <col width="11.125" customWidth="1" style="5" min="33" max="33"/>
    <col hidden="1" width="3.875" customWidth="1" style="5" min="34" max="34"/>
    <col hidden="1" width="4.5" customWidth="1" style="5" min="35" max="35"/>
    <col hidden="1" width="5.5" customWidth="1" style="5" min="36" max="36"/>
    <col hidden="1" width="9.125" customWidth="1" style="5" min="37" max="37"/>
    <col width="5.375" customWidth="1" style="59" min="38" max="38"/>
    <col width="6.125" customWidth="1" style="59" min="39" max="39"/>
    <col width="6.75" customWidth="1" style="59" min="40" max="40"/>
    <col width="6.625" customWidth="1" style="12" min="41" max="41"/>
    <col width="20.875" customWidth="1" style="5" min="42" max="42"/>
    <col width="6.25" customWidth="1" style="5" min="43" max="43"/>
    <col width="6.375" customWidth="1" style="5" min="44" max="44"/>
    <col width="11.375" customWidth="1" style="5" min="45" max="45"/>
    <col hidden="1" width="7.5" customWidth="1" style="5" min="46" max="49"/>
    <col width="5.125" customWidth="1" style="59" min="50" max="50"/>
    <col width="6.75" customWidth="1" style="59" min="51" max="51"/>
    <col width="7" customWidth="1" style="59" min="52" max="52"/>
    <col width="6.875" customWidth="1" style="12" min="53" max="53"/>
    <col width="21.625" customWidth="1" style="6" min="54" max="54"/>
    <col width="5.75" customWidth="1" style="5" min="55" max="55"/>
    <col width="6.875" customWidth="1" style="5" min="56" max="56"/>
    <col width="11.125" customWidth="1" style="5" min="57" max="57"/>
    <col hidden="1" width="6" customWidth="1" style="5" min="58" max="58"/>
    <col hidden="1" width="4.875" customWidth="1" style="5" min="59" max="59"/>
    <col hidden="1" width="6.625" customWidth="1" style="5" min="60" max="60"/>
    <col width="0.25" customWidth="1" style="5" min="61" max="61"/>
    <col width="9" customWidth="1" style="5" min="62" max="16384"/>
  </cols>
  <sheetData>
    <row r="1" ht="39" customHeight="1" thickBot="1">
      <c r="A1" s="420" t="n">
        <v>46096</v>
      </c>
      <c r="F1" s="118" t="inlineStr">
        <is>
          <t>日曜日</t>
        </is>
      </c>
      <c r="G1" s="416" t="n"/>
      <c r="M1" s="71" t="n"/>
      <c r="N1" s="71" t="n"/>
      <c r="O1" s="71" t="n"/>
      <c r="P1" s="71" t="n"/>
      <c r="Q1" s="71" t="n"/>
      <c r="R1" s="71" t="n"/>
      <c r="S1" s="71" t="n"/>
      <c r="T1" s="421" t="n"/>
      <c r="X1" s="71" t="n"/>
      <c r="Y1" s="71" t="n"/>
      <c r="Z1" s="71" t="n"/>
      <c r="AA1" s="71" t="n"/>
      <c r="AB1" s="71" t="n"/>
      <c r="AC1" s="71" t="n"/>
      <c r="AD1" s="165" t="inlineStr">
        <is>
          <t>WIN５</t>
        </is>
      </c>
      <c r="AE1" s="71" t="n"/>
      <c r="AF1" s="71" t="n"/>
      <c r="AG1" s="71" t="n"/>
      <c r="AH1" s="71" t="n"/>
      <c r="AI1" s="71" t="n"/>
      <c r="AJ1" s="71" t="n"/>
      <c r="AK1" s="71" t="n"/>
      <c r="AL1" s="71" t="n"/>
      <c r="AM1" s="71" t="n"/>
      <c r="AN1" s="71" t="n"/>
      <c r="AO1" s="71" t="n"/>
      <c r="AP1" s="71" t="n"/>
      <c r="AQ1" s="71" t="n"/>
      <c r="AR1" s="71" t="n"/>
      <c r="AS1" s="71" t="n"/>
      <c r="AT1" s="71" t="n"/>
      <c r="AU1" s="71" t="n"/>
      <c r="AV1" s="71" t="n"/>
      <c r="AW1" s="71" t="n"/>
      <c r="AX1" s="71" t="n"/>
      <c r="AY1" s="71" t="n"/>
      <c r="AZ1" s="71" t="n"/>
      <c r="BA1" s="71" t="n"/>
      <c r="BB1" s="71" t="n"/>
      <c r="BC1" s="71" t="n"/>
      <c r="BD1" s="71" t="n"/>
      <c r="BE1" s="71" t="n"/>
      <c r="BF1" s="71" t="n"/>
      <c r="BG1" s="71" t="n"/>
      <c r="BH1" s="71" t="n"/>
      <c r="BI1" s="71" t="n"/>
    </row>
    <row r="2" ht="54.75" customHeight="1" thickBot="1">
      <c r="A2" s="445" t="inlineStr">
        <is>
          <t>締切：14時45分</t>
        </is>
      </c>
      <c r="B2" s="446" t="n"/>
      <c r="C2" s="446" t="n"/>
      <c r="D2" s="446" t="n"/>
      <c r="E2" s="447" t="n"/>
      <c r="F2" s="448">
        <f>NOW()</f>
        <v/>
      </c>
      <c r="G2" s="446" t="n"/>
      <c r="H2" s="446" t="n"/>
      <c r="I2" s="446" t="n"/>
      <c r="J2" s="446" t="n"/>
      <c r="K2" s="446" t="n"/>
      <c r="L2" s="446" t="n"/>
      <c r="M2" s="446" t="n"/>
      <c r="N2" s="447" t="n"/>
      <c r="O2" s="428" t="inlineStr">
        <is>
          <t>★★★</t>
        </is>
      </c>
      <c r="P2" s="449" t="n"/>
      <c r="Q2" s="449" t="n"/>
      <c r="R2" s="71" t="n"/>
      <c r="S2" s="71" t="n"/>
      <c r="T2" s="421" t="n"/>
      <c r="U2" s="421" t="n"/>
      <c r="V2" s="421" t="n"/>
      <c r="W2" s="421" t="n"/>
      <c r="X2" s="71" t="n"/>
      <c r="Y2" s="71" t="n"/>
      <c r="Z2" s="71" t="n"/>
      <c r="AA2" s="71" t="n"/>
      <c r="AB2" s="71" t="n"/>
      <c r="AC2" s="71" t="n"/>
      <c r="AD2" s="71" t="n"/>
      <c r="AE2" s="71" t="n"/>
      <c r="AF2" s="71" t="n"/>
      <c r="AG2" s="71" t="n"/>
      <c r="AH2" s="71" t="n"/>
      <c r="AI2" s="71" t="n"/>
      <c r="AJ2" s="71" t="n"/>
      <c r="AK2" s="71" t="n"/>
      <c r="AL2" s="71" t="n"/>
      <c r="AM2" s="71" t="n"/>
      <c r="AN2" s="71" t="n"/>
      <c r="AO2" s="71" t="n"/>
      <c r="AP2" s="71" t="n"/>
      <c r="AQ2" s="71" t="n"/>
      <c r="AR2" s="71" t="n"/>
      <c r="AS2" s="71" t="n"/>
      <c r="AT2" s="71" t="n"/>
      <c r="AU2" s="71" t="n"/>
      <c r="AV2" s="71" t="n"/>
      <c r="AW2" s="71" t="n"/>
      <c r="AX2" s="71" t="n"/>
      <c r="AY2" s="71" t="n"/>
      <c r="AZ2" s="71" t="n"/>
      <c r="BA2" s="71" t="n"/>
      <c r="BB2" s="71" t="n"/>
      <c r="BC2" s="71" t="n"/>
      <c r="BD2" s="71" t="n"/>
      <c r="BE2" s="71" t="n"/>
      <c r="BF2" s="71" t="n"/>
      <c r="BG2" s="71" t="n"/>
      <c r="BH2" s="71" t="n"/>
      <c r="BI2" s="71" t="n"/>
    </row>
    <row r="3" ht="47.25" customFormat="1" customHeight="1" s="25" thickBot="1" thickTop="1">
      <c r="A3" s="59" t="n"/>
      <c r="B3" s="450" t="inlineStr">
        <is>
          <t>WIN１</t>
        </is>
      </c>
      <c r="C3" s="451" t="n"/>
      <c r="D3" s="451" t="n"/>
      <c r="E3" s="451" t="n"/>
      <c r="F3" s="452" t="n"/>
      <c r="G3" s="75" t="n">
        <v>1</v>
      </c>
      <c r="H3" s="76" t="n">
        <v>2</v>
      </c>
      <c r="I3" s="76" t="n">
        <v>3</v>
      </c>
      <c r="J3" s="76" t="n"/>
      <c r="K3" s="76" t="n"/>
      <c r="L3" s="76" t="n"/>
      <c r="M3" s="77" t="n"/>
      <c r="N3" s="450" t="inlineStr">
        <is>
          <t>WIN2</t>
        </is>
      </c>
      <c r="O3" s="451" t="n"/>
      <c r="P3" s="451" t="n"/>
      <c r="Q3" s="451" t="n"/>
      <c r="R3" s="452" t="n"/>
      <c r="S3" s="75" t="n">
        <v>1</v>
      </c>
      <c r="T3" s="76" t="n">
        <v>2</v>
      </c>
      <c r="U3" s="76" t="n">
        <v>3</v>
      </c>
      <c r="V3" s="76" t="n">
        <v>4</v>
      </c>
      <c r="W3" s="76" t="n">
        <v>5</v>
      </c>
      <c r="X3" s="76" t="n">
        <v>6</v>
      </c>
      <c r="Y3" s="77" t="n">
        <v>7</v>
      </c>
      <c r="Z3" s="450" t="inlineStr">
        <is>
          <t>WIN3</t>
        </is>
      </c>
      <c r="AA3" s="451" t="n"/>
      <c r="AB3" s="451" t="n"/>
      <c r="AC3" s="451" t="n"/>
      <c r="AD3" s="452" t="n"/>
      <c r="AE3" s="75" t="n">
        <v>1</v>
      </c>
      <c r="AF3" s="76" t="n">
        <v>2</v>
      </c>
      <c r="AG3" s="76" t="n">
        <v>3</v>
      </c>
      <c r="AH3" s="76" t="n">
        <v>4</v>
      </c>
      <c r="AI3" s="76" t="n">
        <v>5</v>
      </c>
      <c r="AJ3" s="76" t="n">
        <v>6</v>
      </c>
      <c r="AK3" s="77" t="n">
        <v>7</v>
      </c>
      <c r="AL3" s="450" t="inlineStr">
        <is>
          <t>WIN4　 ハンデ</t>
        </is>
      </c>
      <c r="AM3" s="451" t="n"/>
      <c r="AN3" s="451" t="n"/>
      <c r="AO3" s="451" t="n"/>
      <c r="AP3" s="452" t="n"/>
      <c r="AQ3" s="75" t="n">
        <v>1</v>
      </c>
      <c r="AR3" s="76" t="n">
        <v>2</v>
      </c>
      <c r="AS3" s="76" t="n">
        <v>3</v>
      </c>
      <c r="AT3" s="76" t="n">
        <v>4</v>
      </c>
      <c r="AU3" s="76" t="n">
        <v>5</v>
      </c>
      <c r="AV3" s="76" t="n">
        <v>6</v>
      </c>
      <c r="AW3" s="77" t="n">
        <v>7</v>
      </c>
      <c r="AX3" s="450" t="inlineStr">
        <is>
          <t>WIN5</t>
        </is>
      </c>
      <c r="AY3" s="451" t="n"/>
      <c r="AZ3" s="451" t="n"/>
      <c r="BA3" s="451" t="n"/>
      <c r="BB3" s="452" t="n"/>
      <c r="BC3" s="75" t="n">
        <v>1</v>
      </c>
      <c r="BD3" s="76" t="n">
        <v>2</v>
      </c>
      <c r="BE3" s="76" t="n">
        <v>3</v>
      </c>
      <c r="BF3" s="76" t="n">
        <v>4</v>
      </c>
      <c r="BG3" s="76" t="n">
        <v>5</v>
      </c>
      <c r="BH3" s="76" t="n">
        <v>6</v>
      </c>
      <c r="BI3" s="77" t="n">
        <v>7</v>
      </c>
    </row>
    <row r="4" ht="33.75" customFormat="1" customHeight="1" s="27">
      <c r="A4" s="453" t="inlineStr">
        <is>
          <t>ランク</t>
        </is>
      </c>
      <c r="B4" s="454" t="n">
        <v>0.6180555555555556</v>
      </c>
      <c r="C4" s="455" t="n"/>
      <c r="D4" s="455" t="n"/>
      <c r="E4" s="455" t="n"/>
      <c r="F4" s="456" t="n"/>
      <c r="G4" s="411" t="inlineStr">
        <is>
          <t>性齢</t>
        </is>
      </c>
      <c r="H4" s="408" t="inlineStr">
        <is>
          <t>斤量</t>
        </is>
      </c>
      <c r="I4" s="408" t="inlineStr">
        <is>
          <t>騎手名</t>
        </is>
      </c>
      <c r="J4" s="457" t="n"/>
      <c r="K4" s="457" t="n"/>
      <c r="L4" s="457" t="n"/>
      <c r="M4" s="458" t="n"/>
      <c r="N4" s="454" t="n">
        <v>0.625</v>
      </c>
      <c r="O4" s="455" t="n"/>
      <c r="P4" s="455" t="n"/>
      <c r="Q4" s="455" t="n"/>
      <c r="R4" s="456" t="n"/>
      <c r="S4" s="411" t="inlineStr">
        <is>
          <t>性齢</t>
        </is>
      </c>
      <c r="T4" s="408" t="inlineStr">
        <is>
          <t>斤量</t>
        </is>
      </c>
      <c r="U4" s="408" t="inlineStr">
        <is>
          <t>騎手名</t>
        </is>
      </c>
      <c r="V4" s="457" t="n"/>
      <c r="W4" s="457" t="n"/>
      <c r="X4" s="457" t="n"/>
      <c r="Y4" s="458" t="n"/>
      <c r="Z4" s="454" t="n">
        <v>0.6354166666666666</v>
      </c>
      <c r="AA4" s="455" t="n"/>
      <c r="AB4" s="455" t="n"/>
      <c r="AC4" s="455" t="n"/>
      <c r="AD4" s="456" t="n"/>
      <c r="AE4" s="411" t="inlineStr">
        <is>
          <t>性齢</t>
        </is>
      </c>
      <c r="AF4" s="408" t="inlineStr">
        <is>
          <t>斤量</t>
        </is>
      </c>
      <c r="AG4" s="408" t="inlineStr">
        <is>
          <t>騎手名</t>
        </is>
      </c>
      <c r="AH4" s="457" t="n"/>
      <c r="AI4" s="457" t="n"/>
      <c r="AJ4" s="457" t="n"/>
      <c r="AK4" s="458" t="n"/>
      <c r="AL4" s="459" t="n">
        <v>0.6458333333333334</v>
      </c>
      <c r="AM4" s="455" t="n"/>
      <c r="AN4" s="455" t="n"/>
      <c r="AO4" s="455" t="n"/>
      <c r="AP4" s="456" t="n"/>
      <c r="AQ4" s="411" t="inlineStr">
        <is>
          <t>性齢</t>
        </is>
      </c>
      <c r="AR4" s="408" t="inlineStr">
        <is>
          <t>斤量</t>
        </is>
      </c>
      <c r="AS4" s="408" t="inlineStr">
        <is>
          <t>騎手名</t>
        </is>
      </c>
      <c r="AT4" s="457" t="n"/>
      <c r="AU4" s="457" t="n"/>
      <c r="AV4" s="457" t="n"/>
      <c r="AW4" s="458" t="n"/>
      <c r="AX4" s="454" t="n">
        <v>0.65625</v>
      </c>
      <c r="AY4" s="455" t="n"/>
      <c r="AZ4" s="455" t="n"/>
      <c r="BA4" s="455" t="n"/>
      <c r="BB4" s="456" t="n"/>
      <c r="BC4" s="411" t="inlineStr">
        <is>
          <t>性齢</t>
        </is>
      </c>
      <c r="BD4" s="408" t="inlineStr">
        <is>
          <t>斤量</t>
        </is>
      </c>
      <c r="BE4" s="408" t="inlineStr">
        <is>
          <t>騎手名</t>
        </is>
      </c>
      <c r="BF4" s="457" t="n"/>
      <c r="BG4" s="457" t="n"/>
      <c r="BH4" s="457" t="n"/>
      <c r="BI4" s="458" t="n"/>
    </row>
    <row r="5" ht="33.75" customFormat="1" customHeight="1" s="193">
      <c r="A5" s="460" t="n"/>
      <c r="B5" s="461" t="inlineStr">
        <is>
          <t>中山10R_スピカS</t>
        </is>
      </c>
      <c r="C5" s="462" t="n"/>
      <c r="D5" s="462" t="n"/>
      <c r="E5" s="462" t="n"/>
      <c r="F5" s="463" t="n"/>
      <c r="G5" s="464" t="n"/>
      <c r="H5" s="465" t="n"/>
      <c r="I5" s="465" t="n"/>
      <c r="J5" s="465" t="n"/>
      <c r="K5" s="465" t="n"/>
      <c r="L5" s="465" t="n"/>
      <c r="M5" s="466" t="n"/>
      <c r="N5" s="461" t="inlineStr">
        <is>
          <t>阪神10R_レグルスS</t>
        </is>
      </c>
      <c r="O5" s="462" t="n"/>
      <c r="P5" s="462" t="n"/>
      <c r="Q5" s="462" t="n"/>
      <c r="R5" s="463" t="n"/>
      <c r="S5" s="464" t="n"/>
      <c r="T5" s="465" t="n"/>
      <c r="U5" s="465" t="n"/>
      <c r="V5" s="465" t="n"/>
      <c r="W5" s="465" t="n"/>
      <c r="X5" s="465" t="n"/>
      <c r="Y5" s="466" t="n"/>
      <c r="Z5" s="461" t="inlineStr">
        <is>
          <t>中京11R_愛知杯</t>
        </is>
      </c>
      <c r="AA5" s="462" t="n"/>
      <c r="AB5" s="462" t="n"/>
      <c r="AC5" s="462" t="n"/>
      <c r="AD5" s="463" t="n"/>
      <c r="AE5" s="464" t="n"/>
      <c r="AF5" s="465" t="n"/>
      <c r="AG5" s="465" t="n"/>
      <c r="AH5" s="465" t="n"/>
      <c r="AI5" s="465" t="n"/>
      <c r="AJ5" s="465" t="n"/>
      <c r="AK5" s="466" t="n"/>
      <c r="AL5" s="461" t="inlineStr">
        <is>
          <t>中山11R_千葉S</t>
        </is>
      </c>
      <c r="AM5" s="462" t="n"/>
      <c r="AN5" s="462" t="n"/>
      <c r="AO5" s="462" t="n"/>
      <c r="AP5" s="463" t="n"/>
      <c r="AQ5" s="464" t="n"/>
      <c r="AR5" s="465" t="n"/>
      <c r="AS5" s="465" t="n"/>
      <c r="AT5" s="465" t="n"/>
      <c r="AU5" s="465" t="n"/>
      <c r="AV5" s="465" t="n"/>
      <c r="AW5" s="466" t="n"/>
      <c r="AX5" s="461" t="inlineStr">
        <is>
          <t>阪神11R_阪神大賞典</t>
        </is>
      </c>
      <c r="AY5" s="462" t="n"/>
      <c r="AZ5" s="462" t="n"/>
      <c r="BA5" s="462" t="n"/>
      <c r="BB5" s="463" t="n"/>
      <c r="BC5" s="464" t="n"/>
      <c r="BD5" s="465" t="n"/>
      <c r="BE5" s="465" t="n"/>
      <c r="BF5" s="465" t="n"/>
      <c r="BG5" s="465" t="n"/>
      <c r="BH5" s="465" t="n"/>
      <c r="BI5" s="466" t="n"/>
    </row>
    <row r="6" ht="33.75" customFormat="1" customHeight="1" s="27" thickBot="1">
      <c r="A6" s="460" t="n"/>
      <c r="B6" s="467" t="inlineStr">
        <is>
          <t>4歳以上3勝クラス（混合）1,800メートル（芝・右）</t>
        </is>
      </c>
      <c r="C6" s="468" t="n"/>
      <c r="D6" s="468" t="n"/>
      <c r="E6" s="468" t="n"/>
      <c r="F6" s="469" t="n"/>
      <c r="G6" s="464" t="n"/>
      <c r="H6" s="465" t="n"/>
      <c r="I6" s="465" t="n"/>
      <c r="J6" s="465" t="n"/>
      <c r="K6" s="465" t="n"/>
      <c r="L6" s="465" t="n"/>
      <c r="M6" s="466" t="n"/>
      <c r="N6" s="467" t="inlineStr">
        <is>
          <t>4歳以上オープン1,800メートル（ダート・右）</t>
        </is>
      </c>
      <c r="O6" s="468" t="n"/>
      <c r="P6" s="468" t="n"/>
      <c r="Q6" s="468" t="n"/>
      <c r="R6" s="469" t="n"/>
      <c r="S6" s="464" t="n"/>
      <c r="T6" s="465" t="n"/>
      <c r="U6" s="465" t="n"/>
      <c r="V6" s="465" t="n"/>
      <c r="W6" s="465" t="n"/>
      <c r="X6" s="465" t="n"/>
      <c r="Y6" s="466" t="n"/>
      <c r="Z6" s="470" t="inlineStr">
        <is>
          <t>4歳以上牝1,400メートル（芝・左）</t>
        </is>
      </c>
      <c r="AA6" s="468" t="n"/>
      <c r="AB6" s="468" t="n"/>
      <c r="AC6" s="468" t="n"/>
      <c r="AD6" s="469" t="n"/>
      <c r="AE6" s="464" t="n"/>
      <c r="AF6" s="465" t="n"/>
      <c r="AG6" s="465" t="n"/>
      <c r="AH6" s="465" t="n"/>
      <c r="AI6" s="465" t="n"/>
      <c r="AJ6" s="465" t="n"/>
      <c r="AK6" s="466" t="n"/>
      <c r="AL6" s="467" t="inlineStr">
        <is>
          <t>4歳以上オープンハンデ	1,200メートル（ダート・右）</t>
        </is>
      </c>
      <c r="AM6" s="468" t="n"/>
      <c r="AN6" s="468" t="n"/>
      <c r="AO6" s="468" t="n"/>
      <c r="AP6" s="469" t="n"/>
      <c r="AQ6" s="464" t="n"/>
      <c r="AR6" s="465" t="n"/>
      <c r="AS6" s="465" t="n"/>
      <c r="AT6" s="465" t="n"/>
      <c r="AU6" s="465" t="n"/>
      <c r="AV6" s="465" t="n"/>
      <c r="AW6" s="466" t="n"/>
      <c r="AX6" s="467" t="inlineStr">
        <is>
          <t>4歳以上オープン3,000メートル（芝・右）</t>
        </is>
      </c>
      <c r="AY6" s="468" t="n"/>
      <c r="AZ6" s="468" t="n"/>
      <c r="BA6" s="468" t="n"/>
      <c r="BB6" s="469" t="n"/>
      <c r="BC6" s="464" t="n"/>
      <c r="BD6" s="465" t="n"/>
      <c r="BE6" s="465" t="n"/>
      <c r="BF6" s="465" t="n"/>
      <c r="BG6" s="465" t="n"/>
      <c r="BH6" s="465" t="n"/>
      <c r="BI6" s="466" t="n"/>
    </row>
    <row r="7" ht="24.75" customFormat="1" customHeight="1" s="58" thickBot="1" thickTop="1">
      <c r="A7" s="471" t="n"/>
      <c r="B7" s="73" t="inlineStr">
        <is>
          <t>差</t>
        </is>
      </c>
      <c r="C7" s="216" t="inlineStr">
        <is>
          <t>人気順</t>
        </is>
      </c>
      <c r="D7" s="215" t="inlineStr">
        <is>
          <t>馬番</t>
        </is>
      </c>
      <c r="E7" s="214" t="inlineStr">
        <is>
          <t>オッズ</t>
        </is>
      </c>
      <c r="F7" s="145" t="inlineStr">
        <is>
          <t>馬名等</t>
        </is>
      </c>
      <c r="G7" s="171" t="n"/>
      <c r="H7" s="172" t="n"/>
      <c r="I7" s="172" t="n"/>
      <c r="J7" s="472" t="n"/>
      <c r="K7" s="472" t="n"/>
      <c r="L7" s="472" t="n"/>
      <c r="M7" s="473" t="n"/>
      <c r="N7" s="173" t="inlineStr">
        <is>
          <t>差</t>
        </is>
      </c>
      <c r="O7" s="216" t="inlineStr">
        <is>
          <t>人気順</t>
        </is>
      </c>
      <c r="P7" s="215" t="inlineStr">
        <is>
          <t>馬番</t>
        </is>
      </c>
      <c r="Q7" s="214" t="inlineStr">
        <is>
          <t>オッズ</t>
        </is>
      </c>
      <c r="R7" s="145" t="inlineStr">
        <is>
          <t>馬名等</t>
        </is>
      </c>
      <c r="S7" s="171" t="n"/>
      <c r="T7" s="172" t="n"/>
      <c r="U7" s="172" t="n"/>
      <c r="V7" s="472" t="n"/>
      <c r="W7" s="472" t="n"/>
      <c r="X7" s="472" t="n"/>
      <c r="Y7" s="473" t="n"/>
      <c r="Z7" s="73" t="inlineStr">
        <is>
          <t>差</t>
        </is>
      </c>
      <c r="AA7" s="216" t="inlineStr">
        <is>
          <t>人気順</t>
        </is>
      </c>
      <c r="AB7" s="215" t="inlineStr">
        <is>
          <t>馬番</t>
        </is>
      </c>
      <c r="AC7" s="214" t="inlineStr">
        <is>
          <t>オッズ</t>
        </is>
      </c>
      <c r="AD7" s="145" t="inlineStr">
        <is>
          <t>馬名等</t>
        </is>
      </c>
      <c r="AE7" s="171" t="n"/>
      <c r="AF7" s="172" t="n"/>
      <c r="AG7" s="172" t="n"/>
      <c r="AH7" s="472" t="n"/>
      <c r="AI7" s="472" t="n"/>
      <c r="AJ7" s="472" t="n"/>
      <c r="AK7" s="473" t="n"/>
      <c r="AL7" s="73" t="inlineStr">
        <is>
          <t>差</t>
        </is>
      </c>
      <c r="AM7" s="216" t="inlineStr">
        <is>
          <t>人気順</t>
        </is>
      </c>
      <c r="AN7" s="215" t="inlineStr">
        <is>
          <t>馬番</t>
        </is>
      </c>
      <c r="AO7" s="214" t="inlineStr">
        <is>
          <t>オッズ</t>
        </is>
      </c>
      <c r="AP7" s="145" t="inlineStr">
        <is>
          <t>馬名等</t>
        </is>
      </c>
      <c r="AQ7" s="171" t="n"/>
      <c r="AR7" s="172" t="n"/>
      <c r="AS7" s="172" t="n"/>
      <c r="AT7" s="472" t="n"/>
      <c r="AU7" s="472" t="n"/>
      <c r="AV7" s="472" t="n"/>
      <c r="AW7" s="473" t="n"/>
      <c r="AX7" s="73" t="inlineStr">
        <is>
          <t>差</t>
        </is>
      </c>
      <c r="AY7" s="216" t="inlineStr">
        <is>
          <t>人気順</t>
        </is>
      </c>
      <c r="AZ7" s="215" t="inlineStr">
        <is>
          <t>馬番</t>
        </is>
      </c>
      <c r="BA7" s="214" t="inlineStr">
        <is>
          <t>オッズ</t>
        </is>
      </c>
      <c r="BB7" s="145" t="inlineStr">
        <is>
          <t>馬名等</t>
        </is>
      </c>
      <c r="BC7" s="171" t="n"/>
      <c r="BD7" s="172" t="n"/>
      <c r="BE7" s="172" t="n"/>
      <c r="BF7" s="472" t="n"/>
      <c r="BG7" s="472" t="n"/>
      <c r="BH7" s="472" t="n"/>
      <c r="BI7" s="473" t="n"/>
    </row>
    <row r="8" ht="37.5" customFormat="1" customHeight="1" s="60">
      <c r="A8" s="474" t="inlineStr">
        <is>
          <t>A</t>
        </is>
      </c>
      <c r="B8" s="475">
        <f>E8/E7</f>
        <v/>
      </c>
      <c r="C8" s="167">
        <f>IFERROR(RANK(E8, E$8:E$25, 1),"")</f>
        <v/>
      </c>
      <c r="D8" s="167" t="n">
        <v>8</v>
      </c>
      <c r="E8" s="194" t="n">
        <v>2.4</v>
      </c>
      <c r="F8" s="175" t="inlineStr">
        <is>
          <t>エストゥペンダ</t>
        </is>
      </c>
      <c r="G8" s="119" t="inlineStr">
        <is>
          <t>牝4</t>
        </is>
      </c>
      <c r="H8" s="120" t="n">
        <v>56</v>
      </c>
      <c r="I8" s="120" t="inlineStr">
        <is>
          <t>戸崎圭</t>
        </is>
      </c>
      <c r="J8" s="83" t="n"/>
      <c r="K8" s="83" t="n"/>
      <c r="L8" s="83" t="n"/>
      <c r="M8" s="84" t="n"/>
      <c r="N8" s="476">
        <f>Q8/Q7</f>
        <v/>
      </c>
      <c r="O8" s="167">
        <f>IFERROR(RANK(Q8, Q$8:Q$25, 1),"")</f>
        <v/>
      </c>
      <c r="P8" s="167" t="n">
        <v>8</v>
      </c>
      <c r="Q8" s="194" t="n">
        <v>3.6</v>
      </c>
      <c r="R8" s="175" t="inlineStr">
        <is>
          <t>ルシュヴァルドール</t>
        </is>
      </c>
      <c r="S8" s="119" t="inlineStr">
        <is>
          <t>牡5</t>
        </is>
      </c>
      <c r="T8" s="120" t="n">
        <v>60</v>
      </c>
      <c r="U8" s="120" t="inlineStr">
        <is>
          <t>坂井</t>
        </is>
      </c>
      <c r="V8" s="83" t="n"/>
      <c r="W8" s="83" t="n"/>
      <c r="X8" s="83" t="n"/>
      <c r="Y8" s="84" t="n"/>
      <c r="Z8" s="475">
        <f>AC8/AC7</f>
        <v/>
      </c>
      <c r="AA8" s="167">
        <f>IFERROR(RANK(AC8, AC$8:AC$25, 1),"")</f>
        <v/>
      </c>
      <c r="AB8" s="167" t="n">
        <v>1</v>
      </c>
      <c r="AC8" s="194" t="n">
        <v>5.3</v>
      </c>
      <c r="AD8" s="217" t="inlineStr">
        <is>
          <t>マピュース</t>
        </is>
      </c>
      <c r="AE8" s="129" t="inlineStr">
        <is>
          <t>牝4</t>
        </is>
      </c>
      <c r="AF8" s="130" t="n">
        <v>56</v>
      </c>
      <c r="AG8" s="130" t="inlineStr">
        <is>
          <t>田辺</t>
        </is>
      </c>
      <c r="AH8" s="83" t="n"/>
      <c r="AI8" s="83" t="n"/>
      <c r="AJ8" s="83" t="n"/>
      <c r="AK8" s="84" t="n"/>
      <c r="AL8" s="475">
        <f>AO8/AO7</f>
        <v/>
      </c>
      <c r="AM8" s="167">
        <f>IFERROR(RANK(AO8, AO$8:AO$25, 1),"")</f>
        <v/>
      </c>
      <c r="AN8" s="167" t="n">
        <v>14</v>
      </c>
      <c r="AO8" s="194" t="n">
        <v>3.6</v>
      </c>
      <c r="AP8" s="174" t="inlineStr">
        <is>
          <t>エコロアゼル</t>
        </is>
      </c>
      <c r="AQ8" s="119" t="inlineStr">
        <is>
          <t>牡4</t>
        </is>
      </c>
      <c r="AR8" s="120" t="n">
        <v>57</v>
      </c>
      <c r="AS8" s="120" t="inlineStr">
        <is>
          <t>岩田康</t>
        </is>
      </c>
      <c r="AT8" s="87" t="n"/>
      <c r="AU8" s="87" t="n"/>
      <c r="AV8" s="87" t="n"/>
      <c r="AW8" s="88" t="n"/>
      <c r="AX8" s="475">
        <f>BA8/BA7</f>
        <v/>
      </c>
      <c r="AY8" s="167">
        <f>IFERROR(RANK(BA8, BA$8:BA$25, 1),"")</f>
        <v/>
      </c>
      <c r="AZ8" s="167" t="n">
        <v>1</v>
      </c>
      <c r="BA8" s="194" t="n">
        <v>3</v>
      </c>
      <c r="BB8" s="174" t="inlineStr">
        <is>
          <t>アドマイヤテラ</t>
        </is>
      </c>
      <c r="BC8" s="119" t="inlineStr">
        <is>
          <t>牡5</t>
        </is>
      </c>
      <c r="BD8" s="120" t="n">
        <v>58</v>
      </c>
      <c r="BE8" s="120" t="inlineStr">
        <is>
          <t>武豊</t>
        </is>
      </c>
      <c r="BF8" s="83" t="inlineStr">
        <is>
          <t>戸崎圭</t>
        </is>
      </c>
      <c r="BG8" s="83" t="n"/>
      <c r="BH8" s="83" t="n"/>
      <c r="BI8" s="84" t="n"/>
    </row>
    <row r="9" ht="37.5" customFormat="1" customHeight="1" s="60" thickBot="1">
      <c r="A9" s="477" t="n"/>
      <c r="B9" s="478">
        <f>E9/E8</f>
        <v/>
      </c>
      <c r="C9" s="168">
        <f>IFERROR(RANK(E9, E$8:E$25, 1),"")</f>
        <v/>
      </c>
      <c r="D9" s="168" t="n">
        <v>5</v>
      </c>
      <c r="E9" s="195" t="n">
        <v>3.7</v>
      </c>
      <c r="F9" s="166" t="inlineStr">
        <is>
          <t>フィーリウス</t>
        </is>
      </c>
      <c r="G9" s="121" t="inlineStr">
        <is>
          <t>牡4</t>
        </is>
      </c>
      <c r="H9" s="122" t="n">
        <v>58</v>
      </c>
      <c r="I9" s="122" t="inlineStr">
        <is>
          <t>津村</t>
        </is>
      </c>
      <c r="J9" s="97" t="n"/>
      <c r="K9" s="97" t="n"/>
      <c r="L9" s="97" t="n"/>
      <c r="M9" s="98" t="n"/>
      <c r="N9" s="479">
        <f>Q9/Q8</f>
        <v/>
      </c>
      <c r="O9" s="168">
        <f>IFERROR(RANK(Q9, Q$8:Q$25, 1),"")</f>
        <v/>
      </c>
      <c r="P9" s="168" t="n">
        <v>7</v>
      </c>
      <c r="Q9" s="195" t="n">
        <v>4.2</v>
      </c>
      <c r="R9" s="166" t="inlineStr">
        <is>
          <t>タガノバビロン</t>
        </is>
      </c>
      <c r="S9" s="121" t="inlineStr">
        <is>
          <t>牡4</t>
        </is>
      </c>
      <c r="T9" s="131" t="n">
        <v>58</v>
      </c>
      <c r="U9" s="131" t="inlineStr">
        <is>
          <t>松山</t>
        </is>
      </c>
      <c r="V9" s="85" t="n"/>
      <c r="W9" s="85" t="n"/>
      <c r="X9" s="85" t="n"/>
      <c r="Y9" s="86" t="n"/>
      <c r="Z9" s="478">
        <f>AC9/AC8</f>
        <v/>
      </c>
      <c r="AA9" s="168">
        <f>IFERROR(RANK(AC9, AC$8:AC$25, 1),"")</f>
        <v/>
      </c>
      <c r="AB9" s="168" t="n">
        <v>7</v>
      </c>
      <c r="AC9" s="195" t="n">
        <v>5.9</v>
      </c>
      <c r="AD9" s="177" t="inlineStr">
        <is>
          <t>チェルビアット</t>
        </is>
      </c>
      <c r="AE9" s="121" t="inlineStr">
        <is>
          <t>牝4</t>
        </is>
      </c>
      <c r="AF9" s="122" t="n">
        <v>55</v>
      </c>
      <c r="AG9" s="122" t="inlineStr">
        <is>
          <t>西村淳</t>
        </is>
      </c>
      <c r="AH9" s="97" t="n"/>
      <c r="AI9" s="97" t="n"/>
      <c r="AJ9" s="97" t="n"/>
      <c r="AK9" s="98" t="n"/>
      <c r="AL9" s="478">
        <f>AO9/AO8</f>
        <v/>
      </c>
      <c r="AM9" s="168">
        <f>IFERROR(RANK(AO9, AO$8:AO$25, 1),"")</f>
        <v/>
      </c>
      <c r="AN9" s="168" t="n">
        <v>10</v>
      </c>
      <c r="AO9" s="195" t="n">
        <v>4.5</v>
      </c>
      <c r="AP9" s="177" t="inlineStr">
        <is>
          <t>ドラゴンウェルズ</t>
        </is>
      </c>
      <c r="AQ9" s="121" t="inlineStr">
        <is>
          <t>牡4</t>
        </is>
      </c>
      <c r="AR9" s="122" t="n">
        <v>56</v>
      </c>
      <c r="AS9" s="122" t="inlineStr">
        <is>
          <t>戸崎圭</t>
        </is>
      </c>
      <c r="AT9" s="97" t="n"/>
      <c r="AU9" s="97" t="n"/>
      <c r="AV9" s="97" t="n"/>
      <c r="AW9" s="98" t="n"/>
      <c r="AX9" s="478">
        <f>BA9/BA8</f>
        <v/>
      </c>
      <c r="AY9" s="168">
        <f>IFERROR(RANK(BA9, BA$8:BA$25, 1),"")</f>
        <v/>
      </c>
      <c r="AZ9" s="168" t="n">
        <v>5</v>
      </c>
      <c r="BA9" s="195" t="n">
        <v>3.4</v>
      </c>
      <c r="BB9" s="205" t="inlineStr">
        <is>
          <t>ダノンシーマ</t>
        </is>
      </c>
      <c r="BC9" s="121" t="inlineStr">
        <is>
          <t>牡4</t>
        </is>
      </c>
      <c r="BD9" s="122" t="n">
        <v>56</v>
      </c>
      <c r="BE9" s="122" t="inlineStr">
        <is>
          <t>川田</t>
        </is>
      </c>
      <c r="BF9" s="85" t="inlineStr">
        <is>
          <t>ルメール</t>
        </is>
      </c>
      <c r="BG9" s="85" t="n"/>
      <c r="BH9" s="85" t="n"/>
      <c r="BI9" s="86" t="n"/>
    </row>
    <row r="10" ht="37.5" customHeight="1">
      <c r="A10" s="480" t="inlineStr">
        <is>
          <t>B</t>
        </is>
      </c>
      <c r="B10" s="475">
        <f>E10/E9</f>
        <v/>
      </c>
      <c r="C10" s="167">
        <f>IFERROR(RANK(E10, E$8:E$25, 1),"")</f>
        <v/>
      </c>
      <c r="D10" s="167" t="n">
        <v>4</v>
      </c>
      <c r="E10" s="194" t="n">
        <v>4.4</v>
      </c>
      <c r="F10" s="175" t="inlineStr">
        <is>
          <t>ジュタ</t>
        </is>
      </c>
      <c r="G10" s="119" t="inlineStr">
        <is>
          <t>牡4</t>
        </is>
      </c>
      <c r="H10" s="120" t="n">
        <v>58</v>
      </c>
      <c r="I10" s="120" t="inlineStr">
        <is>
          <t>岩田康</t>
        </is>
      </c>
      <c r="J10" s="99" t="n"/>
      <c r="K10" s="99" t="n"/>
      <c r="L10" s="99" t="n"/>
      <c r="M10" s="101" t="n"/>
      <c r="N10" s="475">
        <f>Q10/Q9</f>
        <v/>
      </c>
      <c r="O10" s="167">
        <f>IFERROR(RANK(Q10, Q$8:Q$25, 1),"")</f>
        <v/>
      </c>
      <c r="P10" s="167" t="n">
        <v>11</v>
      </c>
      <c r="Q10" s="194" t="n">
        <v>7.5</v>
      </c>
      <c r="R10" s="174" t="inlineStr">
        <is>
          <t>ジンセイ</t>
        </is>
      </c>
      <c r="S10" s="119" t="inlineStr">
        <is>
          <t>牡5</t>
        </is>
      </c>
      <c r="T10" s="120" t="n">
        <v>58</v>
      </c>
      <c r="U10" s="120" t="inlineStr">
        <is>
          <t>川田</t>
        </is>
      </c>
      <c r="V10" s="83" t="n"/>
      <c r="W10" s="83" t="n"/>
      <c r="X10" s="83" t="n"/>
      <c r="Y10" s="84" t="n"/>
      <c r="Z10" s="475">
        <f>AC10/AC9</f>
        <v/>
      </c>
      <c r="AA10" s="167">
        <f>IFERROR(RANK(AC10, AC$8:AC$25, 1),"")</f>
        <v/>
      </c>
      <c r="AB10" s="167" t="n">
        <v>16</v>
      </c>
      <c r="AC10" s="194" t="n">
        <v>6.3</v>
      </c>
      <c r="AD10" s="175" t="inlineStr">
        <is>
          <t>ドロップオブライト</t>
        </is>
      </c>
      <c r="AE10" s="119" t="inlineStr">
        <is>
          <t>牝7</t>
        </is>
      </c>
      <c r="AF10" s="120" t="n">
        <v>56</v>
      </c>
      <c r="AG10" s="120" t="inlineStr">
        <is>
          <t>松若</t>
        </is>
      </c>
      <c r="AH10" s="83" t="n"/>
      <c r="AI10" s="83" t="n"/>
      <c r="AJ10" s="83" t="n"/>
      <c r="AK10" s="84" t="n"/>
      <c r="AL10" s="475">
        <f>AO10/AO9</f>
        <v/>
      </c>
      <c r="AM10" s="167">
        <f>IFERROR(RANK(AO10, AO$8:AO$25, 1),"")</f>
        <v/>
      </c>
      <c r="AN10" s="167" t="n">
        <v>12</v>
      </c>
      <c r="AO10" s="194" t="n">
        <v>6</v>
      </c>
      <c r="AP10" s="175" t="inlineStr">
        <is>
          <t>メイショウホウレン</t>
        </is>
      </c>
      <c r="AQ10" s="119" t="inlineStr">
        <is>
          <t>牡5</t>
        </is>
      </c>
      <c r="AR10" s="120" t="n">
        <v>57</v>
      </c>
      <c r="AS10" s="120" t="inlineStr">
        <is>
          <t>菊沢</t>
        </is>
      </c>
      <c r="AT10" s="83" t="n"/>
      <c r="AU10" s="83" t="n"/>
      <c r="AV10" s="83" t="n"/>
      <c r="AW10" s="84" t="n"/>
      <c r="AX10" s="475">
        <f>BA10/BA9</f>
        <v/>
      </c>
      <c r="AY10" s="167">
        <f>IFERROR(RANK(BA10, BA$8:BA$25, 1),"")</f>
        <v/>
      </c>
      <c r="AZ10" s="167" t="n">
        <v>6</v>
      </c>
      <c r="BA10" s="194" t="n">
        <v>4.7</v>
      </c>
      <c r="BB10" s="175" t="inlineStr">
        <is>
          <t>レッドバンデ</t>
        </is>
      </c>
      <c r="BC10" s="119" t="inlineStr">
        <is>
          <t>牡4</t>
        </is>
      </c>
      <c r="BD10" s="135" t="n">
        <v>56</v>
      </c>
      <c r="BE10" s="120" t="inlineStr">
        <is>
          <t>佐々木</t>
        </is>
      </c>
      <c r="BF10" s="83" t="inlineStr">
        <is>
          <t>佐々木</t>
        </is>
      </c>
      <c r="BG10" s="83" t="n"/>
      <c r="BH10" s="83" t="n"/>
      <c r="BI10" s="84" t="n"/>
      <c r="BM10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" ht="37.5" customFormat="1" customHeight="1" s="60">
      <c r="A11" s="481" t="n"/>
      <c r="B11" s="482">
        <f>E11/E10</f>
        <v/>
      </c>
      <c r="C11" s="169">
        <f>IFERROR(RANK(E11, E$8:E$25, 1),"")</f>
        <v/>
      </c>
      <c r="D11" s="169" t="n">
        <v>7</v>
      </c>
      <c r="E11" s="196" t="n">
        <v>8.199999999999999</v>
      </c>
      <c r="F11" s="174" t="inlineStr">
        <is>
          <t>ドゥカート</t>
        </is>
      </c>
      <c r="G11" s="123" t="inlineStr">
        <is>
          <t>牡4</t>
        </is>
      </c>
      <c r="H11" s="124" t="n">
        <v>58</v>
      </c>
      <c r="I11" s="124" t="inlineStr">
        <is>
          <t>菊沢</t>
        </is>
      </c>
      <c r="J11" s="89" t="n"/>
      <c r="K11" s="89" t="n"/>
      <c r="L11" s="89" t="n"/>
      <c r="M11" s="90" t="n"/>
      <c r="N11" s="483">
        <f>Q11/Q10</f>
        <v/>
      </c>
      <c r="O11" s="169">
        <f>IFERROR(RANK(Q11, Q$8:Q$25, 1),"")</f>
        <v/>
      </c>
      <c r="P11" s="169" t="n">
        <v>5</v>
      </c>
      <c r="Q11" s="196" t="n">
        <v>7.7</v>
      </c>
      <c r="R11" s="175" t="inlineStr">
        <is>
          <t>モックモック</t>
        </is>
      </c>
      <c r="S11" s="123" t="inlineStr">
        <is>
          <t>牡6</t>
        </is>
      </c>
      <c r="T11" s="124" t="n">
        <v>58</v>
      </c>
      <c r="U11" s="124" t="inlineStr">
        <is>
          <t>武豊</t>
        </is>
      </c>
      <c r="V11" s="89" t="n"/>
      <c r="W11" s="89" t="n"/>
      <c r="X11" s="89" t="n"/>
      <c r="Y11" s="90" t="n"/>
      <c r="Z11" s="482">
        <f>AC11/AC10</f>
        <v/>
      </c>
      <c r="AA11" s="169">
        <f>IFERROR(RANK(AC11, AC$8:AC$25, 1),"")</f>
        <v/>
      </c>
      <c r="AB11" s="169" t="n">
        <v>5</v>
      </c>
      <c r="AC11" s="196" t="n">
        <v>7.2</v>
      </c>
      <c r="AD11" s="174" t="inlineStr">
        <is>
          <t>ウイントワイライト</t>
        </is>
      </c>
      <c r="AE11" s="123" t="inlineStr">
        <is>
          <t>牝4</t>
        </is>
      </c>
      <c r="AF11" s="124" t="n">
        <v>55</v>
      </c>
      <c r="AG11" s="124" t="inlineStr">
        <is>
          <t>横山典</t>
        </is>
      </c>
      <c r="AH11" s="89" t="n"/>
      <c r="AI11" s="89" t="n"/>
      <c r="AJ11" s="89" t="n"/>
      <c r="AK11" s="90" t="n"/>
      <c r="AL11" s="482">
        <f>AO11/AO10</f>
        <v/>
      </c>
      <c r="AM11" s="169">
        <f>IFERROR(RANK(AO11, AO$8:AO$25, 1),"")</f>
        <v/>
      </c>
      <c r="AN11" s="169" t="n">
        <v>7</v>
      </c>
      <c r="AO11" s="196" t="n">
        <v>9.199999999999999</v>
      </c>
      <c r="AP11" s="217" t="inlineStr">
        <is>
          <t>エートラックス</t>
        </is>
      </c>
      <c r="AQ11" s="123" t="inlineStr">
        <is>
          <t>牡5</t>
        </is>
      </c>
      <c r="AR11" s="124" t="n">
        <v>58.5</v>
      </c>
      <c r="AS11" s="124" t="inlineStr">
        <is>
          <t>ルメール</t>
        </is>
      </c>
      <c r="AT11" s="89" t="n"/>
      <c r="AU11" s="89" t="n"/>
      <c r="AV11" s="89" t="n"/>
      <c r="AW11" s="90" t="n"/>
      <c r="AX11" s="482">
        <f>BA11/BA10</f>
        <v/>
      </c>
      <c r="AY11" s="169">
        <f>IFERROR(RANK(BA11, BA$8:BA$25, 1),"")</f>
        <v/>
      </c>
      <c r="AZ11" s="169" t="n">
        <v>7</v>
      </c>
      <c r="BA11" s="196" t="n">
        <v>7.2</v>
      </c>
      <c r="BB11" s="175" t="inlineStr">
        <is>
          <t>マイネルエンペラー</t>
        </is>
      </c>
      <c r="BC11" s="123" t="inlineStr">
        <is>
          <t>牡6</t>
        </is>
      </c>
      <c r="BD11" s="124" t="n">
        <v>58</v>
      </c>
      <c r="BE11" s="124" t="inlineStr">
        <is>
          <t>丹内</t>
        </is>
      </c>
      <c r="BF11" s="91" t="inlineStr">
        <is>
          <t>鮫島駿</t>
        </is>
      </c>
      <c r="BG11" s="91" t="n"/>
      <c r="BH11" s="91" t="n"/>
      <c r="BI11" s="92" t="n"/>
    </row>
    <row r="12" ht="37.5" customHeight="1" thickBot="1">
      <c r="A12" s="477" t="n"/>
      <c r="B12" s="478">
        <f>E12/E11</f>
        <v/>
      </c>
      <c r="C12" s="168">
        <f>IFERROR(RANK(E12, E$8:E$25, 1),"")</f>
        <v/>
      </c>
      <c r="D12" s="168" t="n">
        <v>2</v>
      </c>
      <c r="E12" s="197" t="n">
        <v>12.4</v>
      </c>
      <c r="F12" s="177" t="inlineStr">
        <is>
          <t>エラン</t>
        </is>
      </c>
      <c r="G12" s="121" t="inlineStr">
        <is>
          <t>牡5</t>
        </is>
      </c>
      <c r="H12" s="131" t="n">
        <v>58</v>
      </c>
      <c r="I12" s="122" t="inlineStr">
        <is>
          <t>荻野極</t>
        </is>
      </c>
      <c r="J12" s="85" t="n"/>
      <c r="K12" s="85" t="n"/>
      <c r="L12" s="85" t="n"/>
      <c r="M12" s="86" t="n"/>
      <c r="N12" s="479">
        <f>Q12/Q11</f>
        <v/>
      </c>
      <c r="O12" s="168">
        <f>IFERROR(RANK(Q12, Q$8:Q$25, 1),"")</f>
        <v/>
      </c>
      <c r="P12" s="168" t="n">
        <v>9</v>
      </c>
      <c r="Q12" s="197" t="n">
        <v>10.2</v>
      </c>
      <c r="R12" s="166" t="inlineStr">
        <is>
          <t>ハギノサステナブル</t>
        </is>
      </c>
      <c r="S12" s="121" t="inlineStr">
        <is>
          <t>牡6</t>
        </is>
      </c>
      <c r="T12" s="212" t="n">
        <v>58</v>
      </c>
      <c r="U12" s="212" t="inlineStr">
        <is>
          <t>北村友</t>
        </is>
      </c>
      <c r="V12" s="85" t="n"/>
      <c r="W12" s="85" t="n"/>
      <c r="X12" s="85" t="n"/>
      <c r="Y12" s="86" t="n"/>
      <c r="Z12" s="478">
        <f>AC12/AC11</f>
        <v/>
      </c>
      <c r="AA12" s="168">
        <f>IFERROR(RANK(AC12, AC$8:AC$25, 1),"")</f>
        <v/>
      </c>
      <c r="AB12" s="168" t="n">
        <v>15</v>
      </c>
      <c r="AC12" s="197" t="n">
        <v>10.9</v>
      </c>
      <c r="AD12" s="177" t="inlineStr">
        <is>
          <t>ワイドラトゥール</t>
        </is>
      </c>
      <c r="AE12" s="121" t="inlineStr">
        <is>
          <t>牝5</t>
        </is>
      </c>
      <c r="AF12" s="122" t="n">
        <v>56</v>
      </c>
      <c r="AG12" s="122" t="inlineStr">
        <is>
          <t>西塚</t>
        </is>
      </c>
      <c r="AH12" s="85" t="n"/>
      <c r="AI12" s="85" t="n"/>
      <c r="AJ12" s="85" t="n"/>
      <c r="AK12" s="86" t="n"/>
      <c r="AL12" s="478">
        <f>AO12/AO11</f>
        <v/>
      </c>
      <c r="AM12" s="168">
        <f>IFERROR(RANK(AO12, AO$8:AO$25, 1),"")</f>
        <v/>
      </c>
      <c r="AN12" s="168" t="n">
        <v>6</v>
      </c>
      <c r="AO12" s="197" t="n">
        <v>9.800000000000001</v>
      </c>
      <c r="AP12" s="205" t="inlineStr">
        <is>
          <t>ルディック</t>
        </is>
      </c>
      <c r="AQ12" s="121" t="inlineStr">
        <is>
          <t>牡5</t>
        </is>
      </c>
      <c r="AR12" s="122" t="n">
        <v>55</v>
      </c>
      <c r="AS12" s="122" t="inlineStr">
        <is>
          <t>津村</t>
        </is>
      </c>
      <c r="AT12" s="85" t="n"/>
      <c r="AU12" s="85" t="n"/>
      <c r="AV12" s="85" t="n"/>
      <c r="AW12" s="86" t="n"/>
      <c r="AX12" s="478">
        <f>BA12/BA11</f>
        <v/>
      </c>
      <c r="AY12" s="168">
        <f>IFERROR(RANK(BA12, BA$8:BA$25, 1),"")</f>
        <v/>
      </c>
      <c r="AZ12" s="168" t="n">
        <v>3</v>
      </c>
      <c r="BA12" s="197" t="n">
        <v>8.9</v>
      </c>
      <c r="BB12" s="166" t="inlineStr">
        <is>
          <t>ファミリータイム</t>
        </is>
      </c>
      <c r="BC12" s="121" t="inlineStr">
        <is>
          <t>牡5</t>
        </is>
      </c>
      <c r="BD12" s="131" t="n">
        <v>57</v>
      </c>
      <c r="BE12" s="122" t="inlineStr">
        <is>
          <t>松山</t>
        </is>
      </c>
      <c r="BF12" s="85" t="inlineStr">
        <is>
          <t>松若</t>
        </is>
      </c>
      <c r="BG12" s="85" t="n"/>
      <c r="BH12" s="85" t="n"/>
      <c r="BI12" s="86" t="n"/>
    </row>
    <row r="13" ht="37.5" customHeight="1">
      <c r="A13" s="484" t="inlineStr">
        <is>
          <t>C</t>
        </is>
      </c>
      <c r="B13" s="475">
        <f>E13/E12</f>
        <v/>
      </c>
      <c r="C13" s="167">
        <f>IFERROR(RANK(E13, E$8:E$25, 1),"")</f>
        <v/>
      </c>
      <c r="D13" s="167" t="n">
        <v>6</v>
      </c>
      <c r="E13" s="194" t="n">
        <v>19.3</v>
      </c>
      <c r="F13" s="174" t="inlineStr">
        <is>
          <t>モズロックンロール</t>
        </is>
      </c>
      <c r="G13" s="119" t="inlineStr">
        <is>
          <t>牡6</t>
        </is>
      </c>
      <c r="H13" s="120" t="n">
        <v>58</v>
      </c>
      <c r="I13" s="120" t="inlineStr">
        <is>
          <t>横山琉</t>
        </is>
      </c>
      <c r="J13" s="87" t="n"/>
      <c r="K13" s="87" t="n"/>
      <c r="L13" s="87" t="n"/>
      <c r="M13" s="88" t="n"/>
      <c r="N13" s="476">
        <f>Q13/Q12</f>
        <v/>
      </c>
      <c r="O13" s="167">
        <f>IFERROR(RANK(Q13, Q$8:Q$25, 1),"")</f>
        <v/>
      </c>
      <c r="P13" s="167" t="n">
        <v>6</v>
      </c>
      <c r="Q13" s="194" t="n">
        <v>11.2</v>
      </c>
      <c r="R13" s="174" t="inlineStr">
        <is>
          <t>メイショウズイウン</t>
        </is>
      </c>
      <c r="S13" s="119" t="inlineStr">
        <is>
          <t>牡4</t>
        </is>
      </c>
      <c r="T13" s="120" t="n">
        <v>58</v>
      </c>
      <c r="U13" s="120" t="inlineStr">
        <is>
          <t>太宰</t>
        </is>
      </c>
      <c r="V13" s="87" t="n"/>
      <c r="W13" s="87" t="n"/>
      <c r="X13" s="87" t="n"/>
      <c r="Y13" s="88" t="n"/>
      <c r="Z13" s="475">
        <f>AC13/AC12</f>
        <v/>
      </c>
      <c r="AA13" s="167">
        <f>IFERROR(RANK(AC13, AC$8:AC$25, 1),"")</f>
        <v/>
      </c>
      <c r="AB13" s="167" t="n">
        <v>6</v>
      </c>
      <c r="AC13" s="194" t="n">
        <v>12.9</v>
      </c>
      <c r="AD13" s="175" t="inlineStr">
        <is>
          <t>ナムラクララ</t>
        </is>
      </c>
      <c r="AE13" s="119" t="inlineStr">
        <is>
          <t>牝4</t>
        </is>
      </c>
      <c r="AF13" s="120" t="n">
        <v>55</v>
      </c>
      <c r="AG13" s="120" t="inlineStr">
        <is>
          <t>浜中</t>
        </is>
      </c>
      <c r="AH13" s="83" t="n"/>
      <c r="AI13" s="83" t="n"/>
      <c r="AJ13" s="83" t="n"/>
      <c r="AK13" s="84" t="n"/>
      <c r="AL13" s="475">
        <f>AO13/AO12</f>
        <v/>
      </c>
      <c r="AM13" s="167">
        <f>IFERROR(RANK(AO13, AO$8:AO$25, 1),"")</f>
        <v/>
      </c>
      <c r="AN13" s="167" t="n">
        <v>13</v>
      </c>
      <c r="AO13" s="485" t="n">
        <v>15</v>
      </c>
      <c r="AP13" s="174" t="inlineStr">
        <is>
          <t>エコロガイア</t>
        </is>
      </c>
      <c r="AQ13" s="119" t="inlineStr">
        <is>
          <t>牡5</t>
        </is>
      </c>
      <c r="AR13" s="120" t="n">
        <v>55</v>
      </c>
      <c r="AS13" s="120" t="inlineStr">
        <is>
          <t>高倉</t>
        </is>
      </c>
      <c r="AT13" s="83" t="n"/>
      <c r="AU13" s="83" t="n"/>
      <c r="AV13" s="83" t="n"/>
      <c r="AW13" s="84" t="n"/>
      <c r="AX13" s="475">
        <f>BA13/BA12</f>
        <v/>
      </c>
      <c r="AY13" s="167">
        <f>IFERROR(RANK(BA13, BA$8:BA$25, 1),"")</f>
        <v/>
      </c>
      <c r="AZ13" s="167" t="n">
        <v>4</v>
      </c>
      <c r="BA13" s="194" t="n">
        <v>10.6</v>
      </c>
      <c r="BB13" s="174" t="inlineStr">
        <is>
          <t>アクアヴァーナル</t>
        </is>
      </c>
      <c r="BC13" s="119" t="inlineStr">
        <is>
          <t>牝5</t>
        </is>
      </c>
      <c r="BD13" s="134" t="n">
        <v>55</v>
      </c>
      <c r="BE13" s="120" t="inlineStr">
        <is>
          <t>坂井</t>
        </is>
      </c>
      <c r="BF13" s="83" t="inlineStr">
        <is>
          <t>津村</t>
        </is>
      </c>
      <c r="BG13" s="83" t="n"/>
      <c r="BH13" s="83" t="n"/>
      <c r="BI13" s="84" t="n"/>
    </row>
    <row r="14" ht="37.5" customHeight="1">
      <c r="A14" s="481" t="n"/>
      <c r="B14" s="482">
        <f>E14/E13</f>
        <v/>
      </c>
      <c r="C14" s="169">
        <f>IFERROR(RANK(E14, E$8:E$25, 1),"")</f>
        <v/>
      </c>
      <c r="D14" s="169" t="n">
        <v>1</v>
      </c>
      <c r="E14" s="231" t="n">
        <v>19.6</v>
      </c>
      <c r="F14" s="232" t="inlineStr">
        <is>
          <t>アマイ</t>
        </is>
      </c>
      <c r="G14" s="123" t="inlineStr">
        <is>
          <t>牝6</t>
        </is>
      </c>
      <c r="H14" s="124" t="n">
        <v>56</v>
      </c>
      <c r="I14" s="124" t="inlineStr">
        <is>
          <t>原</t>
        </is>
      </c>
      <c r="J14" s="89" t="n"/>
      <c r="K14" s="89" t="n"/>
      <c r="L14" s="89" t="n"/>
      <c r="M14" s="90" t="n"/>
      <c r="N14" s="483">
        <f>Q14/Q13</f>
        <v/>
      </c>
      <c r="O14" s="169">
        <f>IFERROR(RANK(Q14, Q$8:Q$25, 1),"")</f>
        <v/>
      </c>
      <c r="P14" s="169" t="n">
        <v>16</v>
      </c>
      <c r="Q14" s="196" t="n">
        <v>14.5</v>
      </c>
      <c r="R14" s="233" t="inlineStr">
        <is>
          <t>ロードラビリンス</t>
        </is>
      </c>
      <c r="S14" s="123" t="inlineStr">
        <is>
          <t>牡4</t>
        </is>
      </c>
      <c r="T14" s="124" t="n">
        <v>58</v>
      </c>
      <c r="U14" s="124" t="inlineStr">
        <is>
          <t>鮫島駿</t>
        </is>
      </c>
      <c r="V14" s="89" t="n"/>
      <c r="W14" s="89" t="n"/>
      <c r="X14" s="89" t="n"/>
      <c r="Y14" s="90" t="n"/>
      <c r="Z14" s="483">
        <f>AC14/AC13</f>
        <v/>
      </c>
      <c r="AA14" s="169">
        <f>IFERROR(RANK(AC14, AC$8:AC$25, 1),"")</f>
        <v/>
      </c>
      <c r="AB14" s="169" t="n">
        <v>8</v>
      </c>
      <c r="AC14" s="196" t="n">
        <v>15.1</v>
      </c>
      <c r="AD14" s="232" t="inlineStr">
        <is>
          <t>ソルトクィーン</t>
        </is>
      </c>
      <c r="AE14" s="123" t="inlineStr">
        <is>
          <t>牝5</t>
        </is>
      </c>
      <c r="AF14" s="124" t="n">
        <v>55</v>
      </c>
      <c r="AG14" s="124" t="inlineStr">
        <is>
          <t>富田</t>
        </is>
      </c>
      <c r="AH14" s="89" t="n"/>
      <c r="AI14" s="89" t="n"/>
      <c r="AJ14" s="89" t="n"/>
      <c r="AK14" s="90" t="n"/>
      <c r="AL14" s="482">
        <f>AO14/AO13</f>
        <v/>
      </c>
      <c r="AM14" s="169">
        <f>IFERROR(RANK(AO14, AO$8:AO$25, 1),"")</f>
        <v/>
      </c>
      <c r="AN14" s="169" t="n">
        <v>3</v>
      </c>
      <c r="AO14" s="196" t="n">
        <v>16.5</v>
      </c>
      <c r="AP14" s="233" t="inlineStr">
        <is>
          <t>アガシ</t>
        </is>
      </c>
      <c r="AQ14" s="123" t="inlineStr">
        <is>
          <t>セ5</t>
        </is>
      </c>
      <c r="AR14" s="124" t="n">
        <v>55</v>
      </c>
      <c r="AS14" s="124" t="inlineStr">
        <is>
          <t>三浦</t>
        </is>
      </c>
      <c r="AT14" s="89" t="n"/>
      <c r="AU14" s="89" t="n"/>
      <c r="AV14" s="89" t="n"/>
      <c r="AW14" s="90" t="n"/>
      <c r="AX14" s="482">
        <f>BA14/BA13</f>
        <v/>
      </c>
      <c r="AY14" s="169">
        <f>IFERROR(RANK(BA14, BA$8:BA$25, 1),"")</f>
        <v/>
      </c>
      <c r="AZ14" s="169" t="n">
        <v>2</v>
      </c>
      <c r="BA14" s="196" t="n">
        <v>32.5</v>
      </c>
      <c r="BB14" s="233" t="inlineStr">
        <is>
          <t>シュヴァリエローズ</t>
        </is>
      </c>
      <c r="BC14" s="123" t="inlineStr">
        <is>
          <t>牡8</t>
        </is>
      </c>
      <c r="BD14" s="124" t="n">
        <v>57</v>
      </c>
      <c r="BE14" s="124" t="inlineStr">
        <is>
          <t>北村友</t>
        </is>
      </c>
      <c r="BF14" s="89" t="inlineStr">
        <is>
          <t>プーシャン</t>
        </is>
      </c>
      <c r="BG14" s="89" t="n"/>
      <c r="BH14" s="89" t="n"/>
      <c r="BI14" s="90" t="n"/>
    </row>
    <row r="15" ht="37.5" customFormat="1" customHeight="1" s="60" thickBot="1">
      <c r="A15" s="477" t="n"/>
      <c r="B15" s="478">
        <f>E15/E14</f>
        <v/>
      </c>
      <c r="C15" s="168">
        <f>IFERROR(RANK(E15, E$8:E$25, 1),"")</f>
        <v/>
      </c>
      <c r="D15" s="168" t="n">
        <v>9</v>
      </c>
      <c r="E15" s="197" t="n">
        <v>31.5</v>
      </c>
      <c r="F15" s="61" t="inlineStr">
        <is>
          <t>マイネルトルファン</t>
        </is>
      </c>
      <c r="G15" s="125" t="inlineStr">
        <is>
          <t>牡7</t>
        </is>
      </c>
      <c r="H15" s="126" t="n">
        <v>58</v>
      </c>
      <c r="I15" s="122" t="inlineStr">
        <is>
          <t>柴田大</t>
        </is>
      </c>
      <c r="J15" s="85" t="n"/>
      <c r="K15" s="85" t="n"/>
      <c r="L15" s="85" t="n"/>
      <c r="M15" s="86" t="n"/>
      <c r="N15" s="479">
        <f>Q15/Q14</f>
        <v/>
      </c>
      <c r="O15" s="168">
        <f>IFERROR(RANK(Q15, Q$8:Q$25, 1),"")</f>
        <v/>
      </c>
      <c r="P15" s="168" t="n">
        <v>15</v>
      </c>
      <c r="Q15" s="197" t="n">
        <v>19.2</v>
      </c>
      <c r="R15" s="61" t="inlineStr">
        <is>
          <t>タイトニット</t>
        </is>
      </c>
      <c r="S15" s="121" t="inlineStr">
        <is>
          <t>牡6</t>
        </is>
      </c>
      <c r="T15" s="122" t="n">
        <v>59</v>
      </c>
      <c r="U15" s="122" t="inlineStr">
        <is>
          <t>丹内</t>
        </is>
      </c>
      <c r="V15" s="85" t="n"/>
      <c r="W15" s="85" t="n"/>
      <c r="X15" s="85" t="n"/>
      <c r="Y15" s="86" t="n"/>
      <c r="Z15" s="486">
        <f>AC15/AC14</f>
        <v/>
      </c>
      <c r="AA15" s="168">
        <f>IFERROR(RANK(AC15, AC$8:AC$25, 1),"")</f>
        <v/>
      </c>
      <c r="AB15" s="168" t="n">
        <v>2</v>
      </c>
      <c r="AC15" s="197" t="n">
        <v>15.2</v>
      </c>
      <c r="AD15" s="62" t="inlineStr">
        <is>
          <t>レディマリオン</t>
        </is>
      </c>
      <c r="AE15" s="125" t="inlineStr">
        <is>
          <t>牝5</t>
        </is>
      </c>
      <c r="AF15" s="126" t="n">
        <v>55</v>
      </c>
      <c r="AG15" s="126" t="inlineStr">
        <is>
          <t>吉村</t>
        </is>
      </c>
      <c r="AH15" s="97" t="n"/>
      <c r="AI15" s="97" t="n"/>
      <c r="AJ15" s="97" t="n"/>
      <c r="AK15" s="98" t="n"/>
      <c r="AL15" s="478">
        <f>AO15/AO14</f>
        <v/>
      </c>
      <c r="AM15" s="168">
        <f>IFERROR(RANK(AO15, AO$8:AO$25, 1),"")</f>
        <v/>
      </c>
      <c r="AN15" s="168" t="n">
        <v>4</v>
      </c>
      <c r="AO15" s="197" t="n">
        <v>18.4</v>
      </c>
      <c r="AP15" s="61" t="inlineStr">
        <is>
          <t>ユキマル</t>
        </is>
      </c>
      <c r="AQ15" s="121" t="inlineStr">
        <is>
          <t>牡6</t>
        </is>
      </c>
      <c r="AR15" s="122" t="n">
        <v>55</v>
      </c>
      <c r="AS15" s="122" t="inlineStr">
        <is>
          <t>木幡巧</t>
        </is>
      </c>
      <c r="AT15" s="85" t="n"/>
      <c r="AU15" s="85" t="n"/>
      <c r="AV15" s="85" t="n"/>
      <c r="AW15" s="86" t="n"/>
      <c r="AX15" s="478">
        <f>BA15/BA14</f>
        <v/>
      </c>
      <c r="AY15" s="168">
        <f>IFERROR(RANK(BA15, BA$8:BA$25, 1),"")</f>
        <v/>
      </c>
      <c r="AZ15" s="168" t="n">
        <v>9</v>
      </c>
      <c r="BA15" s="197" t="n">
        <v>37.9</v>
      </c>
      <c r="BB15" s="61" t="inlineStr">
        <is>
          <t>サンライズソレイユ</t>
        </is>
      </c>
      <c r="BC15" s="125" t="inlineStr">
        <is>
          <t>牡5</t>
        </is>
      </c>
      <c r="BD15" s="126" t="n">
        <v>57</v>
      </c>
      <c r="BE15" s="126" t="inlineStr">
        <is>
          <t>岩田望</t>
        </is>
      </c>
      <c r="BF15" s="93" t="inlineStr">
        <is>
          <t>菅原明</t>
        </is>
      </c>
      <c r="BG15" s="93" t="n"/>
      <c r="BH15" s="93" t="n"/>
      <c r="BI15" s="94" t="n"/>
    </row>
    <row r="16" ht="37.5" customHeight="1">
      <c r="A16" s="487" t="inlineStr">
        <is>
          <t>D</t>
        </is>
      </c>
      <c r="B16" s="488">
        <f>E16/E15</f>
        <v/>
      </c>
      <c r="C16" s="167">
        <f>IFERROR(RANK(E16, E$8:E$25, 1),"")</f>
        <v/>
      </c>
      <c r="D16" s="167" t="n">
        <v>3</v>
      </c>
      <c r="E16" s="194" t="n">
        <v>180.8</v>
      </c>
      <c r="F16" s="140" t="inlineStr">
        <is>
          <t>レディベル</t>
        </is>
      </c>
      <c r="G16" s="119" t="inlineStr">
        <is>
          <t>牝7</t>
        </is>
      </c>
      <c r="H16" s="120" t="n">
        <v>56</v>
      </c>
      <c r="I16" s="120" t="inlineStr">
        <is>
          <t>石川</t>
        </is>
      </c>
      <c r="J16" s="83" t="n"/>
      <c r="K16" s="83" t="n"/>
      <c r="L16" s="83" t="n"/>
      <c r="M16" s="84" t="n"/>
      <c r="N16" s="476">
        <f>Q16/Q15</f>
        <v/>
      </c>
      <c r="O16" s="167">
        <f>IFERROR(RANK(Q16, Q$8:Q$25, 1),"")</f>
        <v/>
      </c>
      <c r="P16" s="167" t="n">
        <v>4</v>
      </c>
      <c r="Q16" s="209" t="n">
        <v>25.7</v>
      </c>
      <c r="R16" s="137" t="inlineStr">
        <is>
          <t>テーオーグランビル</t>
        </is>
      </c>
      <c r="S16" s="119" t="inlineStr">
        <is>
          <t>牡6</t>
        </is>
      </c>
      <c r="T16" s="120" t="n">
        <v>58</v>
      </c>
      <c r="U16" s="120" t="inlineStr">
        <is>
          <t>岩田望</t>
        </is>
      </c>
      <c r="V16" s="87" t="n"/>
      <c r="W16" s="87" t="n"/>
      <c r="X16" s="87" t="n"/>
      <c r="Y16" s="88" t="n"/>
      <c r="Z16" s="475">
        <f>AC16/AC15</f>
        <v/>
      </c>
      <c r="AA16" s="167">
        <f>IFERROR(RANK(AC16, AC$8:AC$25, 1),"")</f>
        <v/>
      </c>
      <c r="AB16" s="167" t="n">
        <v>12</v>
      </c>
      <c r="AC16" s="194" t="n">
        <v>18.3</v>
      </c>
      <c r="AD16" s="137" t="inlineStr">
        <is>
          <t>カルプスペルシュ</t>
        </is>
      </c>
      <c r="AE16" s="119" t="inlineStr">
        <is>
          <t>牝4</t>
        </is>
      </c>
      <c r="AF16" s="120" t="n">
        <v>55</v>
      </c>
      <c r="AG16" s="120" t="inlineStr">
        <is>
          <t>横山武</t>
        </is>
      </c>
      <c r="AH16" s="83" t="n"/>
      <c r="AI16" s="83" t="n"/>
      <c r="AJ16" s="83" t="n"/>
      <c r="AK16" s="84" t="n"/>
      <c r="AL16" s="475">
        <f>AO16/AO15</f>
        <v/>
      </c>
      <c r="AM16" s="167">
        <f>IFERROR(RANK(AO16, AO$8:AO$25, 1),"")</f>
        <v/>
      </c>
      <c r="AN16" s="167" t="n">
        <v>9</v>
      </c>
      <c r="AO16" s="194" t="n">
        <v>19.1</v>
      </c>
      <c r="AP16" s="140" t="inlineStr">
        <is>
          <t>ブレーザー</t>
        </is>
      </c>
      <c r="AQ16" s="119" t="inlineStr">
        <is>
          <t>牡5</t>
        </is>
      </c>
      <c r="AR16" s="120" t="n">
        <v>55</v>
      </c>
      <c r="AS16" s="120" t="inlineStr">
        <is>
          <t>荻野極</t>
        </is>
      </c>
      <c r="AT16" s="83" t="n"/>
      <c r="AU16" s="83" t="n"/>
      <c r="AV16" s="83" t="n"/>
      <c r="AW16" s="84" t="n"/>
      <c r="AX16" s="475">
        <f>BA16/BA15</f>
        <v/>
      </c>
      <c r="AY16" s="167">
        <f>IFERROR(RANK(BA16, BA$8:BA$25, 1),"")</f>
        <v/>
      </c>
      <c r="AZ16" s="167" t="n">
        <v>8</v>
      </c>
      <c r="BA16" s="489" t="n">
        <v>88.09999999999999</v>
      </c>
      <c r="BB16" s="137" t="inlineStr">
        <is>
          <t>メイショウブレゲ</t>
        </is>
      </c>
      <c r="BC16" s="119" t="inlineStr">
        <is>
          <t>牡7</t>
        </is>
      </c>
      <c r="BD16" s="120" t="n">
        <v>57</v>
      </c>
      <c r="BE16" s="120" t="inlineStr">
        <is>
          <t>酒井</t>
        </is>
      </c>
      <c r="BF16" s="83" t="inlineStr">
        <is>
          <t>吉田豊</t>
        </is>
      </c>
      <c r="BG16" s="83" t="n"/>
      <c r="BH16" s="83" t="n"/>
      <c r="BI16" s="84" t="n"/>
    </row>
    <row r="17" ht="37.5" customHeight="1">
      <c r="A17" s="481" t="n"/>
      <c r="B17" s="486">
        <f>E17/E16</f>
        <v/>
      </c>
      <c r="C17" s="169">
        <f>IFERROR(RANK(E17, E$8:E$25, 1),"")</f>
        <v/>
      </c>
      <c r="D17" s="169" t="n"/>
      <c r="E17" s="196" t="n"/>
      <c r="F17" s="139" t="n"/>
      <c r="G17" s="123" t="n"/>
      <c r="H17" s="124" t="n"/>
      <c r="I17" s="124" t="n"/>
      <c r="J17" s="89" t="n"/>
      <c r="K17" s="89" t="n"/>
      <c r="L17" s="89" t="n"/>
      <c r="M17" s="90" t="n"/>
      <c r="N17" s="483">
        <f>Q17/Q16</f>
        <v/>
      </c>
      <c r="O17" s="169">
        <f>IFERROR(RANK(Q17, Q$8:Q$25, 1),"")</f>
        <v/>
      </c>
      <c r="P17" s="169" t="n">
        <v>2</v>
      </c>
      <c r="Q17" s="196" t="n">
        <v>28.9</v>
      </c>
      <c r="R17" s="139" t="inlineStr">
        <is>
          <t>シュラザック</t>
        </is>
      </c>
      <c r="S17" s="123" t="inlineStr">
        <is>
          <t>牡4</t>
        </is>
      </c>
      <c r="T17" s="124" t="n">
        <v>58</v>
      </c>
      <c r="U17" s="124" t="inlineStr">
        <is>
          <t>田口</t>
        </is>
      </c>
      <c r="V17" s="91" t="n"/>
      <c r="W17" s="91" t="n"/>
      <c r="X17" s="91" t="n"/>
      <c r="Y17" s="92" t="n"/>
      <c r="Z17" s="482">
        <f>AC17/AC16</f>
        <v/>
      </c>
      <c r="AA17" s="169">
        <f>IFERROR(RANK(AC17, AC$8:AC$25, 1),"")</f>
        <v/>
      </c>
      <c r="AB17" s="169" t="n">
        <v>11</v>
      </c>
      <c r="AC17" s="196" t="n">
        <v>22.5</v>
      </c>
      <c r="AD17" s="139" t="inlineStr">
        <is>
          <t>スリールミニョン</t>
        </is>
      </c>
      <c r="AE17" s="123" t="inlineStr">
        <is>
          <t>牝4</t>
        </is>
      </c>
      <c r="AF17" s="210" t="n">
        <v>55</v>
      </c>
      <c r="AG17" s="124" t="inlineStr">
        <is>
          <t>丸山</t>
        </is>
      </c>
      <c r="AH17" s="89" t="n"/>
      <c r="AI17" s="89" t="n"/>
      <c r="AJ17" s="89" t="n"/>
      <c r="AK17" s="90" t="n"/>
      <c r="AL17" s="482">
        <f>AO17/AO16</f>
        <v/>
      </c>
      <c r="AM17" s="169">
        <f>IFERROR(RANK(AO17, AO$8:AO$25, 1),"")</f>
        <v/>
      </c>
      <c r="AN17" s="169" t="n">
        <v>15</v>
      </c>
      <c r="AO17" s="196" t="n">
        <v>22.7</v>
      </c>
      <c r="AP17" s="139" t="inlineStr">
        <is>
          <t>ショウナンアビアス</t>
        </is>
      </c>
      <c r="AQ17" s="123" t="inlineStr">
        <is>
          <t>牡6</t>
        </is>
      </c>
      <c r="AR17" s="124" t="n">
        <v>55</v>
      </c>
      <c r="AS17" s="124" t="inlineStr">
        <is>
          <t>柴田善</t>
        </is>
      </c>
      <c r="AT17" s="89" t="n"/>
      <c r="AU17" s="89" t="n"/>
      <c r="AV17" s="89" t="n"/>
      <c r="AW17" s="90" t="n"/>
      <c r="AX17" s="482">
        <f>BA17/BA16</f>
        <v/>
      </c>
      <c r="AY17" s="169">
        <f>IFERROR(RANK(BA17, BA$8:BA$25, 1),"")</f>
        <v/>
      </c>
      <c r="AZ17" s="169" t="n">
        <v>10</v>
      </c>
      <c r="BA17" s="196" t="n">
        <v>96</v>
      </c>
      <c r="BB17" s="139" t="inlineStr">
        <is>
          <t>ダンディズム</t>
        </is>
      </c>
      <c r="BC17" s="123" t="inlineStr">
        <is>
          <t>セ10</t>
        </is>
      </c>
      <c r="BD17" s="124" t="n">
        <v>57</v>
      </c>
      <c r="BE17" s="124" t="inlineStr">
        <is>
          <t>松本</t>
        </is>
      </c>
      <c r="BF17" s="91" t="inlineStr">
        <is>
          <t>荻野極</t>
        </is>
      </c>
      <c r="BG17" s="91" t="n"/>
      <c r="BH17" s="91" t="n"/>
      <c r="BI17" s="92" t="n"/>
    </row>
    <row r="18" ht="37.5" customFormat="1" customHeight="1" s="60" thickBot="1">
      <c r="A18" s="477" t="n"/>
      <c r="B18" s="478">
        <f>E18/E17</f>
        <v/>
      </c>
      <c r="C18" s="168">
        <f>IFERROR(RANK(E18, E$8:E$25, 1),"")</f>
        <v/>
      </c>
      <c r="D18" s="168" t="n"/>
      <c r="E18" s="197" t="n"/>
      <c r="F18" s="61" t="n"/>
      <c r="G18" s="121" t="n"/>
      <c r="H18" s="122" t="n"/>
      <c r="I18" s="122" t="n"/>
      <c r="J18" s="85" t="n"/>
      <c r="K18" s="85" t="n"/>
      <c r="L18" s="85" t="n"/>
      <c r="M18" s="86" t="n"/>
      <c r="N18" s="479">
        <f>Q18/Q17</f>
        <v/>
      </c>
      <c r="O18" s="168">
        <f>IFERROR(RANK(Q18, Q$8:Q$25, 1),"")</f>
        <v/>
      </c>
      <c r="P18" s="168" t="n">
        <v>10</v>
      </c>
      <c r="Q18" s="197" t="n">
        <v>32.3</v>
      </c>
      <c r="R18" s="211" t="inlineStr">
        <is>
          <t>レッドプロフェシー</t>
        </is>
      </c>
      <c r="S18" s="121" t="inlineStr">
        <is>
          <t>牡6</t>
        </is>
      </c>
      <c r="T18" s="122" t="n">
        <v>58</v>
      </c>
      <c r="U18" s="122" t="inlineStr">
        <is>
          <t>酒井</t>
        </is>
      </c>
      <c r="V18" s="85" t="n"/>
      <c r="W18" s="85" t="n"/>
      <c r="X18" s="85" t="n"/>
      <c r="Y18" s="86" t="n"/>
      <c r="Z18" s="478">
        <f>AC18/AC17</f>
        <v/>
      </c>
      <c r="AA18" s="168">
        <f>IFERROR(RANK(AC18, AC$8:AC$25, 1),"")</f>
        <v/>
      </c>
      <c r="AB18" s="168" t="n">
        <v>18</v>
      </c>
      <c r="AC18" s="197" t="n">
        <v>22.6</v>
      </c>
      <c r="AD18" s="61" t="inlineStr">
        <is>
          <t>アイサンサン</t>
        </is>
      </c>
      <c r="AE18" s="121" t="inlineStr">
        <is>
          <t>牝4</t>
        </is>
      </c>
      <c r="AF18" s="122" t="n">
        <v>55</v>
      </c>
      <c r="AG18" s="122" t="inlineStr">
        <is>
          <t>幸</t>
        </is>
      </c>
      <c r="AH18" s="85" t="n"/>
      <c r="AI18" s="85" t="n"/>
      <c r="AJ18" s="85" t="n"/>
      <c r="AK18" s="86" t="n"/>
      <c r="AL18" s="478">
        <f>AO18/AO17</f>
        <v/>
      </c>
      <c r="AM18" s="168">
        <f>IFERROR(RANK(AO18, AO$8:AO$25, 1),"")</f>
        <v/>
      </c>
      <c r="AN18" s="168" t="n">
        <v>8</v>
      </c>
      <c r="AO18" s="197" t="n">
        <v>48.8</v>
      </c>
      <c r="AP18" s="61" t="inlineStr">
        <is>
          <t>シークレットヴァウ</t>
        </is>
      </c>
      <c r="AQ18" s="121" t="inlineStr">
        <is>
          <t>牡5</t>
        </is>
      </c>
      <c r="AR18" s="122" t="n">
        <v>55</v>
      </c>
      <c r="AS18" s="122" t="inlineStr">
        <is>
          <t>武藤</t>
        </is>
      </c>
      <c r="AT18" s="97" t="n"/>
      <c r="AU18" s="97" t="n"/>
      <c r="AV18" s="97" t="n"/>
      <c r="AW18" s="98" t="n"/>
      <c r="AX18" s="478">
        <f>BA18/BA17</f>
        <v/>
      </c>
      <c r="AY18" s="168">
        <f>IFERROR(RANK(BA18, BA$8:BA$25, 1),"")</f>
        <v/>
      </c>
      <c r="AZ18" s="168" t="n"/>
      <c r="BA18" s="197" t="n"/>
      <c r="BB18" s="61" t="n"/>
      <c r="BC18" s="121" t="n"/>
      <c r="BD18" s="122" t="n"/>
      <c r="BE18" s="122" t="n"/>
      <c r="BF18" s="85" t="inlineStr">
        <is>
          <t>マーカンド</t>
        </is>
      </c>
      <c r="BG18" s="85" t="n"/>
      <c r="BH18" s="85" t="n"/>
      <c r="BI18" s="86" t="n"/>
    </row>
    <row r="19" ht="37.5" customFormat="1" customHeight="1" s="60">
      <c r="A19" s="490" t="inlineStr">
        <is>
          <t>E</t>
        </is>
      </c>
      <c r="B19" s="475">
        <f>E19/E18</f>
        <v/>
      </c>
      <c r="C19" s="167">
        <f>IFERROR(RANK(E19, E$8:E$25, 1),"")</f>
        <v/>
      </c>
      <c r="D19" s="167" t="n"/>
      <c r="E19" s="194" t="n"/>
      <c r="F19" s="213" t="n"/>
      <c r="G19" s="119" t="n"/>
      <c r="H19" s="120" t="n"/>
      <c r="I19" s="120" t="n"/>
      <c r="J19" s="83" t="n"/>
      <c r="K19" s="83" t="n"/>
      <c r="L19" s="83" t="n"/>
      <c r="M19" s="84" t="n"/>
      <c r="N19" s="476">
        <f>Q19/Q18</f>
        <v/>
      </c>
      <c r="O19" s="167">
        <f>IFERROR(RANK(Q19, Q$8:Q$25, 1),"")</f>
        <v/>
      </c>
      <c r="P19" s="167" t="n">
        <v>1</v>
      </c>
      <c r="Q19" s="194" t="n">
        <v>42.4</v>
      </c>
      <c r="R19" s="137" t="inlineStr">
        <is>
          <t>カペルブリュッケ</t>
        </is>
      </c>
      <c r="S19" s="119" t="inlineStr">
        <is>
          <t>牡4</t>
        </is>
      </c>
      <c r="T19" s="120" t="n">
        <v>58</v>
      </c>
      <c r="U19" s="120" t="inlineStr">
        <is>
          <t>斎藤</t>
        </is>
      </c>
      <c r="V19" s="83" t="n"/>
      <c r="W19" s="83" t="n"/>
      <c r="X19" s="83" t="n"/>
      <c r="Y19" s="84" t="n"/>
      <c r="Z19" s="475">
        <f>AC19/AC18</f>
        <v/>
      </c>
      <c r="AA19" s="167">
        <f>IFERROR(RANK(AC19, AC$8:AC$25, 1),"")</f>
        <v/>
      </c>
      <c r="AB19" s="167" t="n">
        <v>17</v>
      </c>
      <c r="AC19" s="194" t="n">
        <v>23</v>
      </c>
      <c r="AD19" s="137" t="inlineStr">
        <is>
          <t>リラボニート</t>
        </is>
      </c>
      <c r="AE19" s="119" t="inlineStr">
        <is>
          <t>牝5</t>
        </is>
      </c>
      <c r="AF19" s="120" t="n">
        <v>55</v>
      </c>
      <c r="AG19" s="120" t="inlineStr">
        <is>
          <t>田山</t>
        </is>
      </c>
      <c r="AH19" s="87" t="n"/>
      <c r="AI19" s="87" t="n"/>
      <c r="AJ19" s="87" t="n"/>
      <c r="AK19" s="88" t="n"/>
      <c r="AL19" s="475">
        <f>AO19/AO18</f>
        <v/>
      </c>
      <c r="AM19" s="167">
        <f>IFERROR(RANK(AO19, AO$8:AO$25, 1),"")</f>
        <v/>
      </c>
      <c r="AN19" s="167" t="n">
        <v>5</v>
      </c>
      <c r="AO19" s="194" t="n">
        <v>58.3</v>
      </c>
      <c r="AP19" s="140" t="inlineStr">
        <is>
          <t>ロードフロンティア</t>
        </is>
      </c>
      <c r="AQ19" s="119" t="inlineStr">
        <is>
          <t>牡5</t>
        </is>
      </c>
      <c r="AR19" s="120" t="n">
        <v>55</v>
      </c>
      <c r="AS19" s="120" t="inlineStr">
        <is>
          <t>原</t>
        </is>
      </c>
      <c r="AT19" s="83" t="n"/>
      <c r="AU19" s="83" t="n"/>
      <c r="AV19" s="83" t="n"/>
      <c r="AW19" s="84" t="n"/>
      <c r="AX19" s="488">
        <f>BA19/BA18</f>
        <v/>
      </c>
      <c r="AY19" s="167">
        <f>IFERROR(RANK(BA19, BA$8:BA$25, 1),"")</f>
        <v/>
      </c>
      <c r="AZ19" s="167" t="n"/>
      <c r="BA19" s="194" t="n"/>
      <c r="BB19" s="140" t="n"/>
      <c r="BC19" s="119" t="n"/>
      <c r="BD19" s="120" t="n"/>
      <c r="BE19" s="120" t="n"/>
      <c r="BF19" s="83" t="inlineStr">
        <is>
          <t>石橋脩</t>
        </is>
      </c>
      <c r="BG19" s="83" t="n"/>
      <c r="BH19" s="83" t="n"/>
      <c r="BI19" s="84" t="n"/>
    </row>
    <row r="20" ht="37.5" customHeight="1">
      <c r="A20" s="481" t="n"/>
      <c r="B20" s="482">
        <f>E20/E19</f>
        <v/>
      </c>
      <c r="C20" s="169">
        <f>IFERROR(RANK(E20, E$8:E$25, 1),"")</f>
        <v/>
      </c>
      <c r="D20" s="169" t="n"/>
      <c r="E20" s="196" t="n"/>
      <c r="F20" s="138" t="n"/>
      <c r="G20" s="123" t="n"/>
      <c r="H20" s="210" t="n"/>
      <c r="I20" s="124" t="n"/>
      <c r="J20" s="89" t="n"/>
      <c r="K20" s="89" t="n"/>
      <c r="L20" s="89" t="n"/>
      <c r="M20" s="90" t="n"/>
      <c r="N20" s="483">
        <f>Q20/Q19</f>
        <v/>
      </c>
      <c r="O20" s="169">
        <f>IFERROR(RANK(Q20, Q$8:Q$25, 1),"")</f>
        <v/>
      </c>
      <c r="P20" s="169" t="n">
        <v>3</v>
      </c>
      <c r="Q20" s="196" t="n">
        <v>67</v>
      </c>
      <c r="R20" s="138" t="inlineStr">
        <is>
          <t>グーデンドラーク</t>
        </is>
      </c>
      <c r="S20" s="123" t="inlineStr">
        <is>
          <t>牡7</t>
        </is>
      </c>
      <c r="T20" s="124" t="n">
        <v>58</v>
      </c>
      <c r="U20" s="124" t="inlineStr">
        <is>
          <t>国分優</t>
        </is>
      </c>
      <c r="V20" s="89" t="n"/>
      <c r="W20" s="89" t="n"/>
      <c r="X20" s="89" t="n"/>
      <c r="Y20" s="90" t="n"/>
      <c r="Z20" s="482">
        <f>AC20/AC19</f>
        <v/>
      </c>
      <c r="AA20" s="169">
        <f>IFERROR(RANK(AC20, AC$8:AC$25, 1),"")</f>
        <v/>
      </c>
      <c r="AB20" s="169" t="n">
        <v>13</v>
      </c>
      <c r="AC20" s="196" t="n">
        <v>30.7</v>
      </c>
      <c r="AD20" s="176" t="inlineStr">
        <is>
          <t>アブキールベイ</t>
        </is>
      </c>
      <c r="AE20" s="123" t="inlineStr">
        <is>
          <t>牝4</t>
        </is>
      </c>
      <c r="AF20" s="136" t="n">
        <v>56</v>
      </c>
      <c r="AG20" s="124" t="inlineStr">
        <is>
          <t>小崎</t>
        </is>
      </c>
      <c r="AH20" s="89" t="n"/>
      <c r="AI20" s="89" t="n"/>
      <c r="AJ20" s="89" t="n"/>
      <c r="AK20" s="90" t="n"/>
      <c r="AL20" s="482">
        <f>AO20/AO19</f>
        <v/>
      </c>
      <c r="AM20" s="169">
        <f>IFERROR(RANK(AO20, AO$8:AO$25, 1),"")</f>
        <v/>
      </c>
      <c r="AN20" s="169" t="n">
        <v>2</v>
      </c>
      <c r="AO20" s="196" t="n">
        <v>59.6</v>
      </c>
      <c r="AP20" s="176" t="inlineStr">
        <is>
          <t>テイエムトッキュウ</t>
        </is>
      </c>
      <c r="AQ20" s="123" t="inlineStr">
        <is>
          <t>牡8</t>
        </is>
      </c>
      <c r="AR20" s="124" t="n">
        <v>58.5</v>
      </c>
      <c r="AS20" s="124" t="inlineStr">
        <is>
          <t>石橋脩</t>
        </is>
      </c>
      <c r="AT20" s="89" t="n"/>
      <c r="AU20" s="89" t="n"/>
      <c r="AV20" s="89" t="n"/>
      <c r="AW20" s="90" t="n"/>
      <c r="AX20" s="486">
        <f>BA20/BA19</f>
        <v/>
      </c>
      <c r="AY20" s="169">
        <f>IFERROR(RANK(BA20, BA$8:BA$25, 1),"")</f>
        <v/>
      </c>
      <c r="AZ20" s="169" t="n"/>
      <c r="BA20" s="196" t="n"/>
      <c r="BB20" s="208" t="n"/>
      <c r="BC20" s="123" t="n"/>
      <c r="BD20" s="210" t="n"/>
      <c r="BE20" s="124" t="n"/>
      <c r="BF20" s="89" t="inlineStr">
        <is>
          <t>石川</t>
        </is>
      </c>
      <c r="BG20" s="89" t="n"/>
      <c r="BH20" s="89" t="n"/>
      <c r="BI20" s="90" t="n"/>
    </row>
    <row r="21" ht="37.5" customHeight="1" thickBot="1">
      <c r="A21" s="477" t="n"/>
      <c r="B21" s="478">
        <f>E21/E20</f>
        <v/>
      </c>
      <c r="C21" s="168">
        <f>IFERROR(RANK(E21, E$8:E$25, 1),"")</f>
        <v/>
      </c>
      <c r="D21" s="168" t="n"/>
      <c r="E21" s="197" t="n"/>
      <c r="F21" s="141" t="n"/>
      <c r="G21" s="121" t="n"/>
      <c r="H21" s="122" t="n"/>
      <c r="I21" s="122" t="n"/>
      <c r="J21" s="85" t="n"/>
      <c r="K21" s="85" t="n"/>
      <c r="L21" s="85" t="n"/>
      <c r="M21" s="86" t="n"/>
      <c r="N21" s="478">
        <f>Q21/Q20</f>
        <v/>
      </c>
      <c r="O21" s="168">
        <f>IFERROR(RANK(Q21, Q$8:Q$25, 1),"")</f>
        <v/>
      </c>
      <c r="P21" s="168" t="n">
        <v>14</v>
      </c>
      <c r="Q21" s="197" t="n">
        <v>111.8</v>
      </c>
      <c r="R21" s="141" t="inlineStr">
        <is>
          <t>メイショウユズルハ</t>
        </is>
      </c>
      <c r="S21" s="121" t="inlineStr">
        <is>
          <t>牡7</t>
        </is>
      </c>
      <c r="T21" s="122" t="n">
        <v>58</v>
      </c>
      <c r="U21" s="122" t="inlineStr">
        <is>
          <t>菱田</t>
        </is>
      </c>
      <c r="V21" s="85" t="n"/>
      <c r="W21" s="85" t="n"/>
      <c r="X21" s="85" t="n"/>
      <c r="Y21" s="86" t="n"/>
      <c r="Z21" s="478">
        <f>AC21/AC20</f>
        <v/>
      </c>
      <c r="AA21" s="168">
        <f>IFERROR(RANK(AC21, AC$8:AC$25, 1),"")</f>
        <v/>
      </c>
      <c r="AB21" s="168" t="n">
        <v>10</v>
      </c>
      <c r="AC21" s="234" t="n">
        <v>31.4</v>
      </c>
      <c r="AD21" s="61" t="inlineStr">
        <is>
          <t>セフィロ</t>
        </is>
      </c>
      <c r="AE21" s="121" t="inlineStr">
        <is>
          <t>牝6</t>
        </is>
      </c>
      <c r="AF21" s="122" t="n">
        <v>55</v>
      </c>
      <c r="AG21" s="122" t="inlineStr">
        <is>
          <t>吉田隼</t>
        </is>
      </c>
      <c r="AH21" s="85" t="n"/>
      <c r="AI21" s="85" t="n"/>
      <c r="AJ21" s="85" t="n"/>
      <c r="AK21" s="86" t="n"/>
      <c r="AL21" s="478">
        <f>AO21/AO20</f>
        <v/>
      </c>
      <c r="AM21" s="168">
        <f>IFERROR(RANK(AO21, AO$8:AO$25, 1),"")</f>
        <v/>
      </c>
      <c r="AN21" s="168" t="n">
        <v>11</v>
      </c>
      <c r="AO21" s="197" t="n">
        <v>66.59999999999999</v>
      </c>
      <c r="AP21" s="61" t="inlineStr">
        <is>
          <t>ムーヴ</t>
        </is>
      </c>
      <c r="AQ21" s="121" t="inlineStr">
        <is>
          <t>牡7</t>
        </is>
      </c>
      <c r="AR21" s="122" t="n">
        <v>55</v>
      </c>
      <c r="AS21" s="122" t="inlineStr">
        <is>
          <t>横山琉</t>
        </is>
      </c>
      <c r="AT21" s="85" t="n"/>
      <c r="AU21" s="85" t="n"/>
      <c r="AV21" s="85" t="n"/>
      <c r="AW21" s="86" t="n"/>
      <c r="AX21" s="478">
        <f>BA21/BA20</f>
        <v/>
      </c>
      <c r="AY21" s="168">
        <f>IFERROR(RANK(BA21, BA$8:BA$25, 1),"")</f>
        <v/>
      </c>
      <c r="AZ21" s="168" t="n"/>
      <c r="BA21" s="197" t="n"/>
      <c r="BB21" s="141" t="n"/>
      <c r="BC21" s="121" t="n"/>
      <c r="BD21" s="212" t="n"/>
      <c r="BE21" s="122" t="n"/>
      <c r="BF21" s="93" t="inlineStr">
        <is>
          <t>菅原隆</t>
        </is>
      </c>
      <c r="BG21" s="93" t="n"/>
      <c r="BH21" s="93" t="n"/>
      <c r="BI21" s="94" t="n"/>
    </row>
    <row r="22" ht="37.5" customHeight="1">
      <c r="A22" s="491" t="inlineStr">
        <is>
          <t>F</t>
        </is>
      </c>
      <c r="B22" s="475">
        <f>E22/E21</f>
        <v/>
      </c>
      <c r="C22" s="167">
        <f>IFERROR(RANK(E22, E$8:E$25, 1),"")</f>
        <v/>
      </c>
      <c r="D22" s="167" t="n"/>
      <c r="E22" s="194" t="n"/>
      <c r="F22" s="204" t="n"/>
      <c r="G22" s="119" t="n"/>
      <c r="H22" s="120" t="n"/>
      <c r="I22" s="120" t="n"/>
      <c r="J22" s="83" t="n"/>
      <c r="K22" s="83" t="n"/>
      <c r="L22" s="83" t="n"/>
      <c r="M22" s="84" t="n"/>
      <c r="N22" s="475">
        <f>Q22/Q21</f>
        <v/>
      </c>
      <c r="O22" s="167">
        <f>IFERROR(RANK(Q22, Q$8:Q$25, 1),"")</f>
        <v/>
      </c>
      <c r="P22" s="167" t="n">
        <v>12</v>
      </c>
      <c r="Q22" s="194" t="n">
        <v>121.4</v>
      </c>
      <c r="R22" s="137" t="inlineStr">
        <is>
          <t>ピースオブザライフ</t>
        </is>
      </c>
      <c r="S22" s="119" t="inlineStr">
        <is>
          <t>牝6</t>
        </is>
      </c>
      <c r="T22" s="120" t="n">
        <v>56</v>
      </c>
      <c r="U22" s="120" t="inlineStr">
        <is>
          <t>松本</t>
        </is>
      </c>
      <c r="V22" s="83" t="n"/>
      <c r="W22" s="83" t="n"/>
      <c r="X22" s="83" t="n"/>
      <c r="Y22" s="84" t="n"/>
      <c r="Z22" s="475">
        <f>AC22/AC21</f>
        <v/>
      </c>
      <c r="AA22" s="167">
        <f>IFERROR(RANK(AC22, AC$8:AC$25, 1),"")</f>
        <v/>
      </c>
      <c r="AB22" s="167" t="n">
        <v>3</v>
      </c>
      <c r="AC22" s="194" t="n">
        <v>55.2</v>
      </c>
      <c r="AD22" s="140" t="inlineStr">
        <is>
          <t>モリノドリーム</t>
        </is>
      </c>
      <c r="AE22" s="119" t="inlineStr">
        <is>
          <t>牝7</t>
        </is>
      </c>
      <c r="AF22" s="120" t="n">
        <v>55</v>
      </c>
      <c r="AG22" s="120" t="inlineStr">
        <is>
          <t>小林美</t>
        </is>
      </c>
      <c r="AH22" s="83" t="n"/>
      <c r="AI22" s="83" t="n"/>
      <c r="AJ22" s="83" t="n"/>
      <c r="AK22" s="84" t="n"/>
      <c r="AL22" s="475">
        <f>AO22/AO21</f>
        <v/>
      </c>
      <c r="AM22" s="167">
        <f>IFERROR(RANK(AO22, AO$8:AO$25, 1),"")</f>
        <v/>
      </c>
      <c r="AN22" s="167" t="n">
        <v>16</v>
      </c>
      <c r="AO22" s="194" t="n">
        <v>83.59999999999999</v>
      </c>
      <c r="AP22" s="140" t="inlineStr">
        <is>
          <t>ケイアイドリー</t>
        </is>
      </c>
      <c r="AQ22" s="119" t="inlineStr">
        <is>
          <t>牡9</t>
        </is>
      </c>
      <c r="AR22" s="120" t="n">
        <v>58.5</v>
      </c>
      <c r="AS22" s="120" t="inlineStr">
        <is>
          <t>藤懸</t>
        </is>
      </c>
      <c r="AT22" s="83" t="n"/>
      <c r="AU22" s="83" t="n"/>
      <c r="AV22" s="83" t="n"/>
      <c r="AW22" s="84" t="n"/>
      <c r="AX22" s="475">
        <f>BA22/BA21</f>
        <v/>
      </c>
      <c r="AY22" s="167">
        <f>IFERROR(RANK(BA22, BA$8:BA$25, 1),"")</f>
        <v/>
      </c>
      <c r="AZ22" s="167" t="n"/>
      <c r="BA22" s="194" t="n"/>
      <c r="BB22" s="140" t="n"/>
      <c r="BC22" s="119" t="n"/>
      <c r="BD22" s="120" t="n"/>
      <c r="BE22" s="120" t="n"/>
      <c r="BF22" s="83" t="n"/>
      <c r="BG22" s="83" t="n"/>
      <c r="BH22" s="83" t="n"/>
      <c r="BI22" s="84" t="n"/>
    </row>
    <row r="23" ht="37.5" customHeight="1">
      <c r="A23" s="481" t="n"/>
      <c r="B23" s="482">
        <f>E23/E22</f>
        <v/>
      </c>
      <c r="C23" s="169">
        <f>IFERROR(RANK(E23, E$8:E$25, 1),"")</f>
        <v/>
      </c>
      <c r="D23" s="169" t="n"/>
      <c r="E23" s="196" t="n"/>
      <c r="F23" s="139" t="n"/>
      <c r="G23" s="123" t="n"/>
      <c r="H23" s="124" t="n"/>
      <c r="I23" s="124" t="n"/>
      <c r="J23" s="91" t="n"/>
      <c r="K23" s="91" t="n"/>
      <c r="L23" s="91" t="n"/>
      <c r="M23" s="92" t="n"/>
      <c r="N23" s="482">
        <f>Q23/Q22</f>
        <v/>
      </c>
      <c r="O23" s="169">
        <f>IFERROR(RANK(Q23, Q$8:Q$25, 1),"")</f>
        <v/>
      </c>
      <c r="P23" s="169" t="n">
        <v>13</v>
      </c>
      <c r="Q23" s="196" t="n">
        <v>187.4</v>
      </c>
      <c r="R23" s="138" t="inlineStr">
        <is>
          <t>ラインオブソウル</t>
        </is>
      </c>
      <c r="S23" s="123" t="inlineStr">
        <is>
          <t>牡7</t>
        </is>
      </c>
      <c r="T23" s="124" t="n">
        <v>58</v>
      </c>
      <c r="U23" s="124" t="inlineStr">
        <is>
          <t>角田和</t>
        </is>
      </c>
      <c r="V23" s="89" t="n"/>
      <c r="W23" s="89" t="n"/>
      <c r="X23" s="89" t="n"/>
      <c r="Y23" s="90" t="n"/>
      <c r="Z23" s="482">
        <f>AC23/AC22</f>
        <v/>
      </c>
      <c r="AA23" s="169">
        <f>IFERROR(RANK(AC23, AC$8:AC$25, 1),"")</f>
        <v/>
      </c>
      <c r="AB23" s="169" t="n">
        <v>14</v>
      </c>
      <c r="AC23" s="196" t="n">
        <v>68.8</v>
      </c>
      <c r="AD23" s="138" t="inlineStr">
        <is>
          <t>シンバーシア</t>
        </is>
      </c>
      <c r="AE23" s="123" t="inlineStr">
        <is>
          <t>牝5</t>
        </is>
      </c>
      <c r="AF23" s="124" t="n">
        <v>55</v>
      </c>
      <c r="AG23" s="124" t="inlineStr">
        <is>
          <t>団野</t>
        </is>
      </c>
      <c r="AH23" s="89" t="n"/>
      <c r="AI23" s="89" t="n"/>
      <c r="AJ23" s="89" t="n"/>
      <c r="AK23" s="90" t="n"/>
      <c r="AL23" s="482">
        <f>AO23/AO22</f>
        <v/>
      </c>
      <c r="AM23" s="169">
        <f>IFERROR(RANK(AO23, AO$8:AO$25, 1),"")</f>
        <v/>
      </c>
      <c r="AN23" s="169" t="n">
        <v>1</v>
      </c>
      <c r="AO23" s="196" t="n">
        <v>120.1</v>
      </c>
      <c r="AP23" s="139" t="inlineStr">
        <is>
          <t>ジャスパーゴールド</t>
        </is>
      </c>
      <c r="AQ23" s="123" t="inlineStr">
        <is>
          <t>セ8</t>
        </is>
      </c>
      <c r="AR23" s="124" t="n">
        <v>55</v>
      </c>
      <c r="AS23" s="124" t="inlineStr">
        <is>
          <t>松岡</t>
        </is>
      </c>
      <c r="AT23" s="89" t="n"/>
      <c r="AU23" s="89" t="n"/>
      <c r="AV23" s="89" t="n"/>
      <c r="AW23" s="90" t="n"/>
      <c r="AX23" s="482">
        <f>BA23/BA22</f>
        <v/>
      </c>
      <c r="AY23" s="169">
        <f>IFERROR(RANK(BA23, BA$8:BA$25, 1),"")</f>
        <v/>
      </c>
      <c r="AZ23" s="169" t="n"/>
      <c r="BA23" s="196" t="n"/>
      <c r="BB23" s="139" t="n"/>
      <c r="BC23" s="206" t="n"/>
      <c r="BD23" s="207" t="n"/>
      <c r="BE23" s="207" t="n"/>
      <c r="BF23" s="89" t="n"/>
      <c r="BG23" s="89" t="n"/>
      <c r="BH23" s="89" t="n"/>
      <c r="BI23" s="90" t="n"/>
    </row>
    <row r="24" ht="37.5" customHeight="1" thickBot="1">
      <c r="A24" s="477" t="n"/>
      <c r="B24" s="478">
        <f>E24/E23</f>
        <v/>
      </c>
      <c r="C24" s="168">
        <f>IFERROR(RANK(E24, E$8:E$25, 1),"")</f>
        <v/>
      </c>
      <c r="D24" s="168" t="n"/>
      <c r="E24" s="197" t="n"/>
      <c r="F24" s="62" t="n"/>
      <c r="G24" s="125" t="n"/>
      <c r="H24" s="126" t="n"/>
      <c r="I24" s="126" t="n"/>
      <c r="J24" s="93" t="n"/>
      <c r="K24" s="93" t="n"/>
      <c r="L24" s="93" t="n"/>
      <c r="M24" s="94" t="n"/>
      <c r="N24" s="478">
        <f>Q24/Q23</f>
        <v/>
      </c>
      <c r="O24" s="168">
        <f>IFERROR(RANK(Q24, Q$8:Q$25, 1),"")</f>
        <v/>
      </c>
      <c r="P24" s="168">
        <f>IFERROR(RANK(Q24, Q$8:Q$25, 1),"")</f>
        <v/>
      </c>
      <c r="Q24" s="197" t="n"/>
      <c r="R24" s="62" t="n"/>
      <c r="S24" s="125" t="n"/>
      <c r="T24" s="126" t="n"/>
      <c r="U24" s="126" t="n"/>
      <c r="V24" s="93" t="n"/>
      <c r="W24" s="93" t="n"/>
      <c r="X24" s="93" t="n"/>
      <c r="Y24" s="94" t="n"/>
      <c r="Z24" s="478">
        <f>AC24/AC23</f>
        <v/>
      </c>
      <c r="AA24" s="168">
        <f>IFERROR(RANK(AC24, AC$8:AC$25, 1),"")</f>
        <v/>
      </c>
      <c r="AB24" s="168" t="n">
        <v>9</v>
      </c>
      <c r="AC24" s="197" t="n">
        <v>89.8</v>
      </c>
      <c r="AD24" s="61" t="inlineStr">
        <is>
          <t>マサノカナリア</t>
        </is>
      </c>
      <c r="AE24" s="121" t="inlineStr">
        <is>
          <t>牝5</t>
        </is>
      </c>
      <c r="AF24" s="122" t="n">
        <v>55</v>
      </c>
      <c r="AG24" s="122" t="inlineStr">
        <is>
          <t>古川吉</t>
        </is>
      </c>
      <c r="AH24" s="93" t="n"/>
      <c r="AI24" s="93" t="n"/>
      <c r="AJ24" s="93" t="n"/>
      <c r="AK24" s="94" t="n"/>
      <c r="AL24" s="478">
        <f>AO24/AO23</f>
        <v/>
      </c>
      <c r="AM24" s="168">
        <f>IFERROR(RANK(AO24, AO$8:AO$25, 1),"")</f>
        <v/>
      </c>
      <c r="AN24" s="168" t="n"/>
      <c r="AO24" s="197" t="n"/>
      <c r="AP24" s="61" t="n"/>
      <c r="AQ24" s="121" t="n"/>
      <c r="AR24" s="122" t="n"/>
      <c r="AS24" s="122" t="n"/>
      <c r="AT24" s="85" t="n"/>
      <c r="AU24" s="85" t="n"/>
      <c r="AV24" s="85" t="n"/>
      <c r="AW24" s="86" t="n"/>
      <c r="AX24" s="478">
        <f>BA24/BA23</f>
        <v/>
      </c>
      <c r="AY24" s="168">
        <f>IFERROR(RANK(BA24, BA$8:BA$25, 1),"")</f>
        <v/>
      </c>
      <c r="AZ24" s="168">
        <f>IFERROR(RANK(BA24, BA$8:BA$25, 1),"")</f>
        <v/>
      </c>
      <c r="BA24" s="197" t="n"/>
      <c r="BB24" s="104" t="n"/>
      <c r="BC24" s="121" t="n"/>
      <c r="BD24" s="122" t="n"/>
      <c r="BE24" s="122" t="n"/>
      <c r="BF24" s="85" t="n"/>
      <c r="BG24" s="85" t="n"/>
      <c r="BH24" s="85" t="n"/>
      <c r="BI24" s="86" t="n"/>
    </row>
    <row r="25" ht="37.5" customHeight="1" thickBot="1">
      <c r="A25" s="72" t="inlineStr">
        <is>
          <t>G</t>
        </is>
      </c>
      <c r="B25" s="74">
        <f>E25/E24</f>
        <v/>
      </c>
      <c r="C25" s="170">
        <f>IFERROR(RANK(E25, E$8:E$25, 1),"")</f>
        <v/>
      </c>
      <c r="D25" s="170" t="n"/>
      <c r="E25" s="198" t="n"/>
      <c r="F25" s="103" t="n"/>
      <c r="G25" s="132" t="n"/>
      <c r="H25" s="133" t="n"/>
      <c r="I25" s="133" t="n"/>
      <c r="J25" s="100" t="n"/>
      <c r="K25" s="100" t="n"/>
      <c r="L25" s="100" t="n"/>
      <c r="M25" s="102" t="n"/>
      <c r="N25" s="492">
        <f>Q25/Q24</f>
        <v/>
      </c>
      <c r="O25" s="170">
        <f>IFERROR(RANK(Q25, Q$8:Q$25, 1),"")</f>
        <v/>
      </c>
      <c r="P25" s="170">
        <f>IFERROR(RANK(Q25, Q$8:Q$25, 1),"")</f>
        <v/>
      </c>
      <c r="Q25" s="198" t="n"/>
      <c r="R25" s="78" t="n"/>
      <c r="S25" s="127" t="n"/>
      <c r="T25" s="128" t="n"/>
      <c r="U25" s="128" t="n"/>
      <c r="V25" s="95" t="n"/>
      <c r="W25" s="95" t="n"/>
      <c r="X25" s="95" t="n"/>
      <c r="Y25" s="96" t="n"/>
      <c r="Z25" s="492">
        <f>AC25/AC24</f>
        <v/>
      </c>
      <c r="AA25" s="170">
        <f>IFERROR(RANK(AC25, AC$8:AC$25, 1),"")</f>
        <v/>
      </c>
      <c r="AB25" s="170" t="n">
        <v>4</v>
      </c>
      <c r="AC25" s="198" t="n">
        <v>132</v>
      </c>
      <c r="AD25" s="103" t="inlineStr">
        <is>
          <t>カンパニョーラ</t>
        </is>
      </c>
      <c r="AE25" s="132" t="inlineStr">
        <is>
          <t>牝7</t>
        </is>
      </c>
      <c r="AF25" s="133" t="n">
        <v>55</v>
      </c>
      <c r="AG25" s="133" t="inlineStr">
        <is>
          <t>嶋田</t>
        </is>
      </c>
      <c r="AH25" s="95" t="n"/>
      <c r="AI25" s="95" t="n"/>
      <c r="AJ25" s="95" t="n"/>
      <c r="AK25" s="96" t="n"/>
      <c r="AL25" s="492">
        <f>AO25/AO24</f>
        <v/>
      </c>
      <c r="AM25" s="170">
        <f>IFERROR(RANK(AO25, AO$8:AO$25, 1),"")</f>
        <v/>
      </c>
      <c r="AN25" s="170" t="n"/>
      <c r="AO25" s="198" t="n"/>
      <c r="AP25" s="103" t="n"/>
      <c r="AQ25" s="132" t="n"/>
      <c r="AR25" s="133" t="n"/>
      <c r="AS25" s="133" t="n"/>
      <c r="AT25" s="100" t="n"/>
      <c r="AU25" s="100" t="n"/>
      <c r="AV25" s="100" t="n"/>
      <c r="AW25" s="102" t="n"/>
      <c r="AX25" s="492">
        <f>BA25/BA24</f>
        <v/>
      </c>
      <c r="AY25" s="170">
        <f>IFERROR(RANK(BA25, BA$8:BA$25, 1),"")</f>
        <v/>
      </c>
      <c r="AZ25" s="170">
        <f>IFERROR(RANK(BA25, BA$8:BA$25, 1),"")</f>
        <v/>
      </c>
      <c r="BA25" s="198" t="n"/>
      <c r="BB25" s="103" t="n"/>
      <c r="BC25" s="132" t="n"/>
      <c r="BD25" s="133" t="n"/>
      <c r="BE25" s="133" t="n"/>
      <c r="BF25" s="105" t="n"/>
      <c r="BG25" s="105" t="n"/>
      <c r="BH25" s="105" t="n"/>
      <c r="BI25" s="106" t="n"/>
    </row>
    <row r="26" ht="22.5" customHeight="1" thickBot="1">
      <c r="F26" s="6" t="n"/>
      <c r="G26" s="6" t="n"/>
      <c r="H26" s="6" t="n"/>
      <c r="I26" s="6" t="n"/>
      <c r="J26" s="6" t="n"/>
      <c r="K26" s="6" t="n"/>
      <c r="L26" s="6" t="n"/>
      <c r="M26" s="6" t="n"/>
      <c r="Q26" s="11" t="n"/>
      <c r="R26" s="6" t="n"/>
      <c r="S26" s="6" t="n"/>
      <c r="T26" s="6" t="n"/>
      <c r="U26" s="6" t="n"/>
      <c r="V26" s="6" t="n"/>
      <c r="W26" s="6" t="n"/>
      <c r="X26" s="6" t="n"/>
      <c r="Y26" s="6" t="n"/>
      <c r="AC26" s="11" t="n"/>
      <c r="AD26" s="6" t="n"/>
      <c r="AE26" s="6" t="n"/>
      <c r="AF26" s="6" t="n"/>
      <c r="AG26" s="6" t="n"/>
      <c r="AH26" s="6" t="n"/>
      <c r="AI26" s="6" t="n"/>
      <c r="AJ26" s="6" t="n"/>
      <c r="AK26" s="6" t="n"/>
      <c r="AO26" s="11" t="n"/>
      <c r="AP26" s="6" t="n"/>
      <c r="AQ26" s="6" t="n"/>
      <c r="AR26" s="6" t="n"/>
      <c r="AS26" s="6" t="n"/>
      <c r="AT26" s="6" t="n"/>
      <c r="AU26" s="6" t="n"/>
      <c r="AV26" s="6" t="n"/>
      <c r="AW26" s="6" t="n"/>
      <c r="BA26" s="11" t="n"/>
      <c r="BC26" s="6" t="n"/>
      <c r="BD26" s="6" t="n"/>
      <c r="BE26" s="6" t="n"/>
      <c r="BF26" s="6" t="n"/>
      <c r="BG26" s="6" t="n"/>
      <c r="BH26" s="6" t="n"/>
      <c r="BI26" s="6" t="n"/>
    </row>
    <row r="27" ht="20.25" customHeight="1" thickBot="1">
      <c r="A27" s="392" t="inlineStr">
        <is>
          <t>平均オッズ</t>
        </is>
      </c>
      <c r="B27" s="442" t="n"/>
      <c r="C27" s="442" t="n"/>
      <c r="D27" s="442" t="n"/>
      <c r="E27" s="493">
        <f>AVERAGE(E8:E25)</f>
        <v/>
      </c>
      <c r="F27" s="65" t="n"/>
      <c r="G27" s="67" t="n"/>
      <c r="H27" s="67" t="n"/>
      <c r="I27" s="67" t="n"/>
      <c r="J27" s="67" t="n"/>
      <c r="K27" s="67" t="n"/>
      <c r="L27" s="67" t="n"/>
      <c r="M27" s="67" t="n"/>
      <c r="N27" s="69" t="n"/>
      <c r="O27" s="69" t="n"/>
      <c r="P27" s="69" t="n"/>
      <c r="Q27" s="494">
        <f>AVERAGE(Q8:Q26)</f>
        <v/>
      </c>
      <c r="R27" s="65" t="n"/>
      <c r="S27" s="67" t="n"/>
      <c r="T27" s="67" t="n"/>
      <c r="U27" s="67" t="n"/>
      <c r="V27" s="67" t="n"/>
      <c r="W27" s="67" t="n"/>
      <c r="X27" s="67" t="n"/>
      <c r="Y27" s="67" t="n"/>
      <c r="Z27" s="69" t="n"/>
      <c r="AA27" s="69" t="n"/>
      <c r="AB27" s="69" t="n"/>
      <c r="AC27" s="494">
        <f>AVERAGE(AC8:AC26)</f>
        <v/>
      </c>
      <c r="AD27" s="65" t="n"/>
      <c r="AE27" s="67" t="n"/>
      <c r="AF27" s="67" t="n"/>
      <c r="AG27" s="67" t="n"/>
      <c r="AH27" s="67" t="n"/>
      <c r="AI27" s="67" t="n"/>
      <c r="AJ27" s="67" t="n"/>
      <c r="AK27" s="67" t="n"/>
      <c r="AL27" s="67" t="n"/>
      <c r="AM27" s="67" t="n"/>
      <c r="AN27" s="67" t="n"/>
      <c r="AO27" s="494">
        <f>AVERAGE(AO8:AO26)</f>
        <v/>
      </c>
      <c r="AP27" s="65" t="n"/>
      <c r="AQ27" s="67" t="n"/>
      <c r="AR27" s="67" t="n"/>
      <c r="AS27" s="67" t="n"/>
      <c r="AT27" s="67" t="n"/>
      <c r="AU27" s="67" t="n"/>
      <c r="AV27" s="67" t="n"/>
      <c r="AW27" s="67" t="n"/>
      <c r="AX27" s="67" t="n"/>
      <c r="AY27" s="67" t="n"/>
      <c r="AZ27" s="67" t="n"/>
      <c r="BA27" s="494">
        <f>AVERAGE(BA8:BA26)</f>
        <v/>
      </c>
      <c r="BB27" s="64" t="n"/>
      <c r="BC27" s="67" t="n"/>
      <c r="BD27" s="67" t="n"/>
      <c r="BE27" s="67" t="n"/>
      <c r="BF27" s="67" t="n"/>
      <c r="BG27" s="67" t="n"/>
      <c r="BH27" s="67" t="n"/>
      <c r="BI27" s="67" t="n"/>
    </row>
    <row r="28" ht="22.5" customHeight="1" thickBot="1"/>
    <row r="29">
      <c r="E29" s="386" t="inlineStr">
        <is>
          <t>１レース目</t>
        </is>
      </c>
      <c r="F29" s="455" t="n"/>
      <c r="G29" s="455" t="n"/>
      <c r="H29" s="455" t="n"/>
      <c r="I29" s="455" t="n"/>
      <c r="J29" s="455" t="n"/>
      <c r="K29" s="455" t="n"/>
      <c r="L29" s="455" t="n"/>
      <c r="M29" s="495" t="n"/>
      <c r="P29" s="5" t="n"/>
      <c r="Q29" s="386" t="inlineStr">
        <is>
          <t>２レース目</t>
        </is>
      </c>
      <c r="R29" s="455" t="n"/>
      <c r="S29" s="455" t="n"/>
      <c r="T29" s="455" t="n"/>
      <c r="U29" s="455" t="n"/>
      <c r="V29" s="455" t="n"/>
      <c r="W29" s="455" t="n"/>
      <c r="X29" s="455" t="n"/>
      <c r="Y29" s="495" t="n"/>
      <c r="AB29" s="5" t="n"/>
      <c r="AC29" s="386" t="inlineStr">
        <is>
          <t>３レース目</t>
        </is>
      </c>
      <c r="AD29" s="455" t="n"/>
      <c r="AE29" s="455" t="n"/>
      <c r="AF29" s="455" t="n"/>
      <c r="AG29" s="455" t="n"/>
      <c r="AH29" s="455" t="n"/>
      <c r="AI29" s="455" t="n"/>
      <c r="AJ29" s="455" t="n"/>
      <c r="AK29" s="495" t="n"/>
      <c r="AN29" s="12" t="n"/>
      <c r="AO29" s="386" t="inlineStr">
        <is>
          <t>４レース目</t>
        </is>
      </c>
      <c r="AP29" s="455" t="n"/>
      <c r="AQ29" s="455" t="n"/>
      <c r="AR29" s="455" t="n"/>
      <c r="AS29" s="455" t="n"/>
      <c r="AT29" s="455" t="n"/>
      <c r="AU29" s="455" t="n"/>
      <c r="AV29" s="455" t="n"/>
      <c r="AW29" s="495" t="n"/>
      <c r="AZ29" s="12" t="n"/>
      <c r="BA29" s="386" t="inlineStr">
        <is>
          <t>５レース目</t>
        </is>
      </c>
      <c r="BB29" s="455" t="n"/>
      <c r="BC29" s="455" t="n"/>
      <c r="BD29" s="455" t="n"/>
      <c r="BE29" s="455" t="n"/>
      <c r="BF29" s="455" t="n"/>
      <c r="BG29" s="455" t="n"/>
      <c r="BH29" s="455" t="n"/>
      <c r="BI29" s="495" t="n"/>
    </row>
    <row r="30">
      <c r="E30" s="20" t="n">
        <v>1</v>
      </c>
      <c r="F30" s="19" t="inlineStr">
        <is>
          <t>中央競馬予想隊</t>
        </is>
      </c>
      <c r="G30" s="219" t="n"/>
      <c r="H30" s="462" t="n"/>
      <c r="I30" s="496" t="n"/>
      <c r="J30" s="19" t="n"/>
      <c r="K30" s="19" t="n"/>
      <c r="L30" s="19" t="n"/>
      <c r="M30" s="79" t="n"/>
      <c r="P30" s="5" t="n"/>
      <c r="Q30" s="20" t="n">
        <v>1</v>
      </c>
      <c r="R30" s="19" t="inlineStr">
        <is>
          <t>中央競馬予想隊</t>
        </is>
      </c>
      <c r="S30" s="219" t="n"/>
      <c r="T30" s="462" t="n"/>
      <c r="U30" s="496" t="n"/>
      <c r="V30" s="19" t="n"/>
      <c r="W30" s="19" t="n"/>
      <c r="X30" s="19" t="n"/>
      <c r="Y30" s="79" t="n"/>
      <c r="AB30" s="5" t="n"/>
      <c r="AC30" s="20" t="n">
        <v>1</v>
      </c>
      <c r="AD30" s="19" t="inlineStr">
        <is>
          <t>中央競馬予想隊</t>
        </is>
      </c>
      <c r="AE30" s="219" t="n"/>
      <c r="AF30" s="462" t="n"/>
      <c r="AG30" s="496" t="n"/>
      <c r="AH30" s="19" t="n"/>
      <c r="AI30" s="19" t="n"/>
      <c r="AJ30" s="19" t="n"/>
      <c r="AK30" s="79" t="n"/>
      <c r="AN30" s="12" t="n"/>
      <c r="AO30" s="20" t="n">
        <v>1</v>
      </c>
      <c r="AP30" s="19" t="inlineStr">
        <is>
          <t>中央競馬予想隊</t>
        </is>
      </c>
      <c r="AQ30" s="219" t="n"/>
      <c r="AR30" s="462" t="n"/>
      <c r="AS30" s="496" t="n"/>
      <c r="AT30" s="19" t="n"/>
      <c r="AU30" s="19" t="n"/>
      <c r="AV30" s="19" t="n"/>
      <c r="AW30" s="79" t="n"/>
      <c r="AZ30" s="12" t="n"/>
      <c r="BA30" s="20" t="n">
        <v>1</v>
      </c>
      <c r="BB30" s="19" t="inlineStr">
        <is>
          <t>中央競馬予想隊</t>
        </is>
      </c>
      <c r="BC30" s="219" t="n"/>
      <c r="BD30" s="462" t="n"/>
      <c r="BE30" s="496" t="n"/>
      <c r="BF30" s="19" t="n"/>
      <c r="BG30" s="19" t="n"/>
      <c r="BH30" s="19" t="n"/>
      <c r="BI30" s="79" t="n"/>
    </row>
    <row r="31">
      <c r="E31" s="20" t="n">
        <v>2</v>
      </c>
      <c r="F31" s="19" t="inlineStr">
        <is>
          <t>消・買</t>
        </is>
      </c>
      <c r="G31" s="219" t="n"/>
      <c r="H31" s="462" t="n"/>
      <c r="I31" s="496" t="n"/>
      <c r="J31" s="19" t="n"/>
      <c r="K31" s="19" t="n"/>
      <c r="L31" s="19" t="n"/>
      <c r="M31" s="79" t="n"/>
      <c r="P31" s="5" t="n"/>
      <c r="Q31" s="20" t="n">
        <v>2</v>
      </c>
      <c r="R31" s="19" t="inlineStr">
        <is>
          <t>消・買</t>
        </is>
      </c>
      <c r="S31" s="219" t="n"/>
      <c r="T31" s="462" t="n"/>
      <c r="U31" s="496" t="n"/>
      <c r="V31" s="19" t="n"/>
      <c r="W31" s="19" t="n"/>
      <c r="X31" s="19" t="n"/>
      <c r="Y31" s="79" t="n"/>
      <c r="AB31" s="5" t="n"/>
      <c r="AC31" s="20" t="n">
        <v>2</v>
      </c>
      <c r="AD31" s="19" t="inlineStr">
        <is>
          <t>消・買</t>
        </is>
      </c>
      <c r="AE31" s="219" t="n"/>
      <c r="AF31" s="462" t="n"/>
      <c r="AG31" s="496" t="n"/>
      <c r="AH31" s="19" t="n"/>
      <c r="AI31" s="19" t="n"/>
      <c r="AJ31" s="19" t="n"/>
      <c r="AK31" s="79" t="n"/>
      <c r="AN31" s="12" t="n"/>
      <c r="AO31" s="20" t="n">
        <v>2</v>
      </c>
      <c r="AP31" s="19" t="inlineStr">
        <is>
          <t>消・買</t>
        </is>
      </c>
      <c r="AQ31" s="219" t="n"/>
      <c r="AR31" s="462" t="n"/>
      <c r="AS31" s="496" t="n"/>
      <c r="AT31" s="19" t="n"/>
      <c r="AU31" s="19" t="n"/>
      <c r="AV31" s="19" t="n"/>
      <c r="AW31" s="79" t="n"/>
      <c r="AZ31" s="12" t="n"/>
      <c r="BA31" s="20" t="n">
        <v>2</v>
      </c>
      <c r="BB31" s="19" t="inlineStr">
        <is>
          <t>消・買</t>
        </is>
      </c>
      <c r="BC31" s="219" t="n"/>
      <c r="BD31" s="462" t="n"/>
      <c r="BE31" s="496" t="n"/>
      <c r="BF31" s="19" t="n"/>
      <c r="BG31" s="19" t="n"/>
      <c r="BH31" s="19" t="n"/>
      <c r="BI31" s="79" t="n"/>
    </row>
    <row r="32">
      <c r="E32" s="20" t="n">
        <v>3</v>
      </c>
      <c r="F32" s="19" t="inlineStr">
        <is>
          <t>おじさんの予想</t>
        </is>
      </c>
      <c r="G32" s="219" t="n"/>
      <c r="H32" s="462" t="n"/>
      <c r="I32" s="496" t="n"/>
      <c r="J32" s="19" t="n"/>
      <c r="K32" s="19" t="n"/>
      <c r="L32" s="19" t="n"/>
      <c r="M32" s="79" t="n"/>
      <c r="P32" s="5" t="n"/>
      <c r="Q32" s="20" t="n">
        <v>3</v>
      </c>
      <c r="R32" s="19" t="inlineStr">
        <is>
          <t>おじさんの予想</t>
        </is>
      </c>
      <c r="S32" s="219" t="n"/>
      <c r="T32" s="462" t="n"/>
      <c r="U32" s="496" t="n"/>
      <c r="V32" s="19" t="n"/>
      <c r="W32" s="19" t="n"/>
      <c r="X32" s="19" t="n"/>
      <c r="Y32" s="79" t="n"/>
      <c r="AB32" s="5" t="n"/>
      <c r="AC32" s="20" t="n">
        <v>3</v>
      </c>
      <c r="AD32" s="19" t="inlineStr">
        <is>
          <t>おじさんの予想</t>
        </is>
      </c>
      <c r="AE32" s="219" t="n"/>
      <c r="AF32" s="462" t="n"/>
      <c r="AG32" s="496" t="n"/>
      <c r="AH32" s="19" t="n"/>
      <c r="AI32" s="19" t="n"/>
      <c r="AJ32" s="19" t="n"/>
      <c r="AK32" s="79" t="n"/>
      <c r="AN32" s="12" t="n"/>
      <c r="AO32" s="20" t="n">
        <v>3</v>
      </c>
      <c r="AP32" s="19" t="inlineStr">
        <is>
          <t>おじさんの予想</t>
        </is>
      </c>
      <c r="AQ32" s="219" t="n"/>
      <c r="AR32" s="462" t="n"/>
      <c r="AS32" s="496" t="n"/>
      <c r="AT32" s="19" t="n"/>
      <c r="AU32" s="19" t="n"/>
      <c r="AV32" s="19" t="n"/>
      <c r="AW32" s="79" t="n"/>
      <c r="AZ32" s="12" t="n"/>
      <c r="BA32" s="20" t="n">
        <v>3</v>
      </c>
      <c r="BB32" s="19" t="inlineStr">
        <is>
          <t>おじさんの予想</t>
        </is>
      </c>
      <c r="BC32" s="219" t="n"/>
      <c r="BD32" s="462" t="n"/>
      <c r="BE32" s="496" t="n"/>
      <c r="BF32" s="19" t="n"/>
      <c r="BG32" s="19" t="n"/>
      <c r="BH32" s="19" t="n"/>
      <c r="BI32" s="79" t="n"/>
    </row>
    <row r="33">
      <c r="E33" s="20" t="n">
        <v>4</v>
      </c>
      <c r="F33" s="19" t="inlineStr">
        <is>
          <t>統計分析</t>
        </is>
      </c>
      <c r="G33" s="219" t="n"/>
      <c r="H33" s="462" t="n"/>
      <c r="I33" s="496" t="n"/>
      <c r="J33" s="19" t="n"/>
      <c r="K33" s="19" t="n"/>
      <c r="L33" s="19" t="n"/>
      <c r="M33" s="79" t="n"/>
      <c r="P33" s="5" t="n"/>
      <c r="Q33" s="20" t="n">
        <v>4</v>
      </c>
      <c r="R33" s="19" t="inlineStr">
        <is>
          <t>統計分析</t>
        </is>
      </c>
      <c r="S33" s="219" t="n"/>
      <c r="T33" s="462" t="n"/>
      <c r="U33" s="496" t="n"/>
      <c r="V33" s="19" t="n"/>
      <c r="W33" s="19" t="n"/>
      <c r="X33" s="19" t="n"/>
      <c r="Y33" s="79" t="n"/>
      <c r="AB33" s="5" t="n"/>
      <c r="AC33" s="20" t="n">
        <v>4</v>
      </c>
      <c r="AD33" s="19" t="inlineStr">
        <is>
          <t>統計分析</t>
        </is>
      </c>
      <c r="AE33" s="219" t="n"/>
      <c r="AF33" s="462" t="n"/>
      <c r="AG33" s="496" t="n"/>
      <c r="AH33" s="19" t="n"/>
      <c r="AI33" s="19" t="n"/>
      <c r="AJ33" s="19" t="n"/>
      <c r="AK33" s="79" t="n"/>
      <c r="AN33" s="12" t="n"/>
      <c r="AO33" s="20" t="n">
        <v>4</v>
      </c>
      <c r="AP33" s="19" t="inlineStr">
        <is>
          <t>統計分析</t>
        </is>
      </c>
      <c r="AQ33" s="219" t="n"/>
      <c r="AR33" s="462" t="n"/>
      <c r="AS33" s="496" t="n"/>
      <c r="AT33" s="19" t="n"/>
      <c r="AU33" s="19" t="n"/>
      <c r="AV33" s="19" t="n"/>
      <c r="AW33" s="79" t="n"/>
      <c r="AZ33" s="12" t="n"/>
      <c r="BA33" s="20" t="n">
        <v>4</v>
      </c>
      <c r="BB33" s="19" t="inlineStr">
        <is>
          <t>統計分析</t>
        </is>
      </c>
      <c r="BC33" s="219" t="n"/>
      <c r="BD33" s="462" t="n"/>
      <c r="BE33" s="496" t="n"/>
      <c r="BF33" s="19" t="n"/>
      <c r="BG33" s="19" t="n"/>
      <c r="BH33" s="19" t="n"/>
      <c r="BI33" s="79" t="n"/>
    </row>
    <row r="34">
      <c r="E34" s="20" t="n">
        <v>5</v>
      </c>
      <c r="F34" s="19" t="inlineStr">
        <is>
          <t>NUNO競馬</t>
        </is>
      </c>
      <c r="G34" s="219" t="n"/>
      <c r="H34" s="462" t="n"/>
      <c r="I34" s="496" t="n"/>
      <c r="J34" s="19" t="n"/>
      <c r="K34" s="19" t="n"/>
      <c r="L34" s="19" t="n"/>
      <c r="M34" s="79" t="n"/>
      <c r="P34" s="5" t="n"/>
      <c r="Q34" s="20" t="n">
        <v>5</v>
      </c>
      <c r="R34" s="19" t="inlineStr">
        <is>
          <t>NUNO競馬</t>
        </is>
      </c>
      <c r="S34" s="219" t="n"/>
      <c r="T34" s="462" t="n"/>
      <c r="U34" s="496" t="n"/>
      <c r="V34" s="19" t="n"/>
      <c r="W34" s="19" t="n"/>
      <c r="X34" s="19" t="n"/>
      <c r="Y34" s="79" t="n"/>
      <c r="AB34" s="5" t="n"/>
      <c r="AC34" s="20" t="n">
        <v>5</v>
      </c>
      <c r="AD34" s="19" t="inlineStr">
        <is>
          <t>NUNO競馬</t>
        </is>
      </c>
      <c r="AE34" s="219" t="n"/>
      <c r="AF34" s="462" t="n"/>
      <c r="AG34" s="496" t="n"/>
      <c r="AH34" s="19" t="n"/>
      <c r="AI34" s="19" t="n"/>
      <c r="AJ34" s="19" t="n"/>
      <c r="AK34" s="79" t="n"/>
      <c r="AN34" s="12" t="n"/>
      <c r="AO34" s="20" t="n">
        <v>5</v>
      </c>
      <c r="AP34" s="19" t="inlineStr">
        <is>
          <t>NUNO競馬</t>
        </is>
      </c>
      <c r="AQ34" s="219" t="n"/>
      <c r="AR34" s="462" t="n"/>
      <c r="AS34" s="496" t="n"/>
      <c r="AT34" s="19" t="n"/>
      <c r="AU34" s="19" t="n"/>
      <c r="AV34" s="19" t="n"/>
      <c r="AW34" s="79" t="n"/>
      <c r="AZ34" s="12" t="n"/>
      <c r="BA34" s="20" t="n">
        <v>5</v>
      </c>
      <c r="BB34" s="19" t="inlineStr">
        <is>
          <t>NUNO競馬</t>
        </is>
      </c>
      <c r="BC34" s="219" t="n"/>
      <c r="BD34" s="462" t="n"/>
      <c r="BE34" s="496" t="n"/>
      <c r="BF34" s="19" t="n"/>
      <c r="BG34" s="19" t="n"/>
      <c r="BH34" s="19" t="n"/>
      <c r="BI34" s="79" t="n"/>
    </row>
    <row r="35" ht="22.5" customHeight="1" thickBot="1">
      <c r="E35" s="80" t="n">
        <v>6</v>
      </c>
      <c r="F35" s="81" t="inlineStr">
        <is>
          <t>ムーケン</t>
        </is>
      </c>
      <c r="G35" s="221" t="n"/>
      <c r="H35" s="468" t="n"/>
      <c r="I35" s="497" t="n"/>
      <c r="J35" s="81" t="n"/>
      <c r="K35" s="81" t="n"/>
      <c r="L35" s="81" t="n"/>
      <c r="M35" s="82" t="n"/>
      <c r="P35" s="5" t="n"/>
      <c r="Q35" s="80" t="n">
        <v>6</v>
      </c>
      <c r="R35" s="81" t="inlineStr">
        <is>
          <t>ムーケン</t>
        </is>
      </c>
      <c r="S35" s="221" t="n"/>
      <c r="T35" s="468" t="n"/>
      <c r="U35" s="497" t="n"/>
      <c r="V35" s="81" t="n"/>
      <c r="W35" s="81" t="n"/>
      <c r="X35" s="81" t="n"/>
      <c r="Y35" s="82" t="n"/>
      <c r="AB35" s="5" t="n"/>
      <c r="AC35" s="80" t="n">
        <v>6</v>
      </c>
      <c r="AD35" s="81" t="inlineStr">
        <is>
          <t>ムーケン</t>
        </is>
      </c>
      <c r="AE35" s="221" t="n"/>
      <c r="AF35" s="468" t="n"/>
      <c r="AG35" s="497" t="n"/>
      <c r="AH35" s="81" t="n"/>
      <c r="AI35" s="81" t="n"/>
      <c r="AJ35" s="81" t="n"/>
      <c r="AK35" s="82" t="n"/>
      <c r="AN35" s="12" t="n"/>
      <c r="AO35" s="80" t="n">
        <v>6</v>
      </c>
      <c r="AP35" s="81" t="inlineStr">
        <is>
          <t>ムーケン</t>
        </is>
      </c>
      <c r="AQ35" s="221" t="n"/>
      <c r="AR35" s="468" t="n"/>
      <c r="AS35" s="497" t="n"/>
      <c r="AT35" s="81" t="n"/>
      <c r="AU35" s="81" t="n"/>
      <c r="AV35" s="81" t="n"/>
      <c r="AW35" s="82" t="n"/>
      <c r="AZ35" s="12" t="n"/>
      <c r="BA35" s="80" t="n">
        <v>6</v>
      </c>
      <c r="BB35" s="81" t="inlineStr">
        <is>
          <t>ムーケン</t>
        </is>
      </c>
      <c r="BC35" s="221" t="n"/>
      <c r="BD35" s="468" t="n"/>
      <c r="BE35" s="497" t="n"/>
      <c r="BF35" s="81" t="n"/>
      <c r="BG35" s="81" t="n"/>
      <c r="BH35" s="81" t="n"/>
      <c r="BI35" s="82" t="n"/>
    </row>
    <row r="36">
      <c r="E36" s="6" t="n"/>
      <c r="P36" s="5" t="n"/>
      <c r="Q36" s="6" t="n"/>
      <c r="AB36" s="5" t="n"/>
      <c r="AC36" s="6" t="n"/>
      <c r="AN36" s="12" t="n"/>
      <c r="AO36" s="6" t="n"/>
      <c r="AZ36" s="12" t="n"/>
      <c r="BA36" s="6" t="n"/>
    </row>
    <row r="38">
      <c r="AE38" s="70" t="n"/>
      <c r="AF38" s="70" t="n"/>
      <c r="AG38" s="70" t="n"/>
      <c r="AH38" s="70" t="n"/>
      <c r="AI38" s="70" t="n"/>
      <c r="AJ38" s="70" t="n"/>
      <c r="AK38" s="70" t="n"/>
      <c r="AQ38" s="70" t="n"/>
      <c r="AR38" s="70" t="n"/>
      <c r="AS38" s="70" t="n"/>
      <c r="AT38" s="70" t="n"/>
      <c r="AU38" s="70" t="n"/>
      <c r="AV38" s="70" t="n"/>
      <c r="AW38" s="70" t="n"/>
      <c r="BC38" s="70" t="n"/>
      <c r="BD38" s="70" t="n"/>
      <c r="BE38" s="70" t="n"/>
      <c r="BF38" s="70" t="n"/>
      <c r="BG38" s="70" t="n"/>
      <c r="BH38" s="70" t="n"/>
      <c r="BI38" s="70" t="n"/>
    </row>
  </sheetData>
  <autoFilter ref="Z7:AG7">
    <sortState ref="Z8:AG25">
      <sortCondition ref="AA7"/>
    </sortState>
  </autoFilter>
  <mergeCells count="104">
    <mergeCell ref="Y4:Y7"/>
    <mergeCell ref="AU4:AU7"/>
    <mergeCell ref="B3:F3"/>
    <mergeCell ref="AQ4:AQ6"/>
    <mergeCell ref="AK4:AK7"/>
    <mergeCell ref="A1:E1"/>
    <mergeCell ref="BG4:BG7"/>
    <mergeCell ref="A13:A15"/>
    <mergeCell ref="AQ31:AS31"/>
    <mergeCell ref="Z3:AD3"/>
    <mergeCell ref="J4:J7"/>
    <mergeCell ref="L4:L7"/>
    <mergeCell ref="X4:X7"/>
    <mergeCell ref="Z5:AD5"/>
    <mergeCell ref="AX3:BB3"/>
    <mergeCell ref="A27:D27"/>
    <mergeCell ref="AF4:AF6"/>
    <mergeCell ref="B6:F6"/>
    <mergeCell ref="AV4:AV7"/>
    <mergeCell ref="AR4:AR6"/>
    <mergeCell ref="N6:R6"/>
    <mergeCell ref="AX5:BB5"/>
    <mergeCell ref="BH4:BH7"/>
    <mergeCell ref="T1:W1"/>
    <mergeCell ref="N4:R4"/>
    <mergeCell ref="Q29:Y29"/>
    <mergeCell ref="AX4:BB4"/>
    <mergeCell ref="AL6:AP6"/>
    <mergeCell ref="AX6:BB6"/>
    <mergeCell ref="G30:I30"/>
    <mergeCell ref="G4:G6"/>
    <mergeCell ref="S4:S6"/>
    <mergeCell ref="U4:U6"/>
    <mergeCell ref="BC4:BC6"/>
    <mergeCell ref="AI4:AI7"/>
    <mergeCell ref="A8:A9"/>
    <mergeCell ref="G32:I32"/>
    <mergeCell ref="S32:U32"/>
    <mergeCell ref="BC31:BE31"/>
    <mergeCell ref="A16:A18"/>
    <mergeCell ref="AQ32:AS32"/>
    <mergeCell ref="AJ4:AJ7"/>
    <mergeCell ref="B5:F5"/>
    <mergeCell ref="BC32:BE32"/>
    <mergeCell ref="B4:F4"/>
    <mergeCell ref="E29:M29"/>
    <mergeCell ref="AE33:AG33"/>
    <mergeCell ref="BD4:BD6"/>
    <mergeCell ref="Z6:AD6"/>
    <mergeCell ref="AQ33:AS33"/>
    <mergeCell ref="I4:I6"/>
    <mergeCell ref="V4:V7"/>
    <mergeCell ref="G34:I34"/>
    <mergeCell ref="A22:A24"/>
    <mergeCell ref="F2:N2"/>
    <mergeCell ref="S34:U34"/>
    <mergeCell ref="AC29:AK29"/>
    <mergeCell ref="AO29:AW29"/>
    <mergeCell ref="S30:U30"/>
    <mergeCell ref="AE30:AG30"/>
    <mergeCell ref="AE4:AE6"/>
    <mergeCell ref="BC34:BE34"/>
    <mergeCell ref="AG4:AG6"/>
    <mergeCell ref="A2:E2"/>
    <mergeCell ref="G31:I31"/>
    <mergeCell ref="AS4:AS6"/>
    <mergeCell ref="BI4:BI7"/>
    <mergeCell ref="S31:U31"/>
    <mergeCell ref="A4:A7"/>
    <mergeCell ref="BE4:BE6"/>
    <mergeCell ref="K4:K7"/>
    <mergeCell ref="AE32:AG32"/>
    <mergeCell ref="M4:M7"/>
    <mergeCell ref="W4:W7"/>
    <mergeCell ref="BC30:BE30"/>
    <mergeCell ref="AW4:AW7"/>
    <mergeCell ref="G33:I33"/>
    <mergeCell ref="S33:U33"/>
    <mergeCell ref="N3:R3"/>
    <mergeCell ref="BC33:BE33"/>
    <mergeCell ref="AH4:AH7"/>
    <mergeCell ref="A10:A12"/>
    <mergeCell ref="A19:A21"/>
    <mergeCell ref="G35:I35"/>
    <mergeCell ref="AT4:AT7"/>
    <mergeCell ref="AQ35:AS35"/>
    <mergeCell ref="AE34:AG34"/>
    <mergeCell ref="O2:Q2"/>
    <mergeCell ref="S35:U35"/>
    <mergeCell ref="N5:R5"/>
    <mergeCell ref="BC35:BE35"/>
    <mergeCell ref="G1:L1"/>
    <mergeCell ref="H4:H6"/>
    <mergeCell ref="BA29:BI29"/>
    <mergeCell ref="AQ34:AS34"/>
    <mergeCell ref="AL3:AP3"/>
    <mergeCell ref="BF4:BF7"/>
    <mergeCell ref="T4:T6"/>
    <mergeCell ref="AL5:AP5"/>
    <mergeCell ref="AQ30:AS30"/>
    <mergeCell ref="Z4:AD4"/>
    <mergeCell ref="AE35:AG35"/>
    <mergeCell ref="AL4:AP4"/>
    <mergeCell ref="AE31:AG31"/>
  </mergeCells>
  <conditionalFormatting sqref="B8:B25 N8:N25 Z8:Z25 AL8:AL25 AX8:AX25">
    <cfRule type="cellIs" priority="64" operator="greaterThanOrEqual" dxfId="29">
      <formula>1.8</formula>
    </cfRule>
  </conditionalFormatting>
  <conditionalFormatting sqref="D8:D25">
    <cfRule type="cellIs" priority="1" operator="equal" dxfId="18">
      <formula>12</formula>
    </cfRule>
    <cfRule type="cellIs" priority="2" operator="equal" dxfId="18">
      <formula>8</formula>
    </cfRule>
    <cfRule type="cellIs" priority="3" operator="equal" dxfId="18">
      <formula>7</formula>
    </cfRule>
    <cfRule type="cellIs" priority="4" operator="equal" dxfId="18">
      <formula>2</formula>
    </cfRule>
    <cfRule type="cellIs" priority="5" operator="equal" dxfId="18">
      <formula>1</formula>
    </cfRule>
  </conditionalFormatting>
  <conditionalFormatting sqref="E8:E25">
    <cfRule type="expression" priority="78" dxfId="17">
      <formula>E8&lt;=10</formula>
    </cfRule>
  </conditionalFormatting>
  <conditionalFormatting sqref="G8:G25">
    <cfRule type="containsText" priority="68" operator="containsText" dxfId="37" text="セ">
      <formula>NOT(ISERROR(SEARCH("セ",G8)))</formula>
    </cfRule>
    <cfRule type="containsText" priority="69" operator="containsText" dxfId="0" text="牝">
      <formula>NOT(ISERROR(SEARCH("牝",G8)))</formula>
    </cfRule>
  </conditionalFormatting>
  <conditionalFormatting sqref="P8:P25">
    <cfRule type="cellIs" priority="21" operator="equal" dxfId="18">
      <formula>12</formula>
    </cfRule>
    <cfRule type="cellIs" priority="22" operator="equal" dxfId="18">
      <formula>8</formula>
    </cfRule>
    <cfRule type="cellIs" priority="23" operator="equal" dxfId="18">
      <formula>7</formula>
    </cfRule>
    <cfRule type="cellIs" priority="24" operator="equal" dxfId="18">
      <formula>2</formula>
    </cfRule>
    <cfRule type="cellIs" priority="25" operator="equal" dxfId="18">
      <formula>1</formula>
    </cfRule>
  </conditionalFormatting>
  <conditionalFormatting sqref="Q8:Q25">
    <cfRule type="expression" priority="74" dxfId="17">
      <formula>Q8&lt;=10</formula>
    </cfRule>
  </conditionalFormatting>
  <conditionalFormatting sqref="S8:S25 AE8:AE25 AQ8:AQ25 BC8:BC25">
    <cfRule type="containsText" priority="70" operator="containsText" dxfId="37" text="セ">
      <formula>NOT(ISERROR(SEARCH("セ",S8)))</formula>
    </cfRule>
    <cfRule type="containsText" priority="71" operator="containsText" dxfId="0" text="牝">
      <formula>NOT(ISERROR(SEARCH("牝",S8)))</formula>
    </cfRule>
  </conditionalFormatting>
  <conditionalFormatting sqref="AB8:AB25">
    <cfRule type="cellIs" priority="16" operator="equal" dxfId="18">
      <formula>12</formula>
    </cfRule>
    <cfRule type="cellIs" priority="17" operator="equal" dxfId="18">
      <formula>8</formula>
    </cfRule>
    <cfRule type="cellIs" priority="20" operator="equal" dxfId="18">
      <formula>1</formula>
    </cfRule>
    <cfRule type="cellIs" priority="18" operator="equal" dxfId="18">
      <formula>7</formula>
    </cfRule>
    <cfRule type="cellIs" priority="19" operator="equal" dxfId="18">
      <formula>2</formula>
    </cfRule>
  </conditionalFormatting>
  <conditionalFormatting sqref="AC8:AC25">
    <cfRule type="expression" priority="77" dxfId="17">
      <formula>AC8&lt;=10</formula>
    </cfRule>
  </conditionalFormatting>
  <conditionalFormatting sqref="AL9:AL17">
    <cfRule type="cellIs" priority="76" operator="greaterThan" dxfId="29">
      <formula>4</formula>
    </cfRule>
  </conditionalFormatting>
  <conditionalFormatting sqref="AN8:AN25">
    <cfRule type="cellIs" priority="11" operator="equal" dxfId="18">
      <formula>12</formula>
    </cfRule>
    <cfRule type="cellIs" priority="12" operator="equal" dxfId="18">
      <formula>8</formula>
    </cfRule>
    <cfRule type="cellIs" priority="13" operator="equal" dxfId="18">
      <formula>7</formula>
    </cfRule>
    <cfRule type="cellIs" priority="14" operator="equal" dxfId="18">
      <formula>2</formula>
    </cfRule>
    <cfRule type="cellIs" priority="15" operator="equal" dxfId="18">
      <formula>1</formula>
    </cfRule>
  </conditionalFormatting>
  <conditionalFormatting sqref="AO8:AO25">
    <cfRule type="expression" priority="73" dxfId="17">
      <formula>AO8&lt;=10</formula>
    </cfRule>
  </conditionalFormatting>
  <conditionalFormatting sqref="AZ8:AZ25">
    <cfRule type="cellIs" priority="6" operator="equal" dxfId="18">
      <formula>12</formula>
    </cfRule>
    <cfRule type="cellIs" priority="7" operator="equal" dxfId="18">
      <formula>8</formula>
    </cfRule>
    <cfRule type="cellIs" priority="8" operator="equal" dxfId="18">
      <formula>7</formula>
    </cfRule>
    <cfRule type="cellIs" priority="9" operator="equal" dxfId="18">
      <formula>2</formula>
    </cfRule>
    <cfRule type="cellIs" priority="10" operator="equal" dxfId="18">
      <formula>1</formula>
    </cfRule>
  </conditionalFormatting>
  <conditionalFormatting sqref="BA8:BA25">
    <cfRule type="expression" priority="75" dxfId="17">
      <formula>BA8&lt;=10</formula>
    </cfRule>
  </conditionalFormatting>
  <pageMargins left="0.18" right="0.1968503937007874" top="0.38" bottom="0.1968503937007874" header="0.44" footer="0.2"/>
  <pageSetup orientation="landscape" paperSize="9" scale="38" horizontalDpi="4294967293"/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2:Y42"/>
  <sheetViews>
    <sheetView workbookViewId="0">
      <selection activeCell="P7" sqref="P7"/>
    </sheetView>
  </sheetViews>
  <sheetFormatPr baseColWidth="8" defaultRowHeight="18.75"/>
  <cols>
    <col width="3.375" customWidth="1" style="1" min="1" max="1"/>
    <col width="5.75" customWidth="1" style="258" min="2" max="2"/>
    <col width="5.25" customWidth="1" style="1" min="3" max="3"/>
    <col width="5.75" customWidth="1" style="258" min="4" max="4"/>
    <col width="5.25" customWidth="1" style="1" min="5" max="5"/>
    <col width="5.75" customWidth="1" style="258" min="6" max="6"/>
    <col width="5.25" customWidth="1" style="1" min="7" max="7"/>
    <col width="5.75" customWidth="1" style="258" min="8" max="8"/>
    <col width="5.25" customWidth="1" style="1" min="9" max="9"/>
    <col width="5.75" customWidth="1" style="258" min="10" max="10"/>
    <col width="5.25" customWidth="1" style="1" min="11" max="11"/>
    <col width="6.25" customWidth="1" style="1" min="12" max="15"/>
    <col width="6.25" customWidth="1" min="16" max="16"/>
    <col width="7.75" customWidth="1" min="17" max="21"/>
    <col width="8.5" customWidth="1" style="258" min="22" max="22"/>
    <col width="7" customWidth="1" min="23" max="23"/>
    <col width="4.375" customWidth="1" style="1" min="24" max="24"/>
  </cols>
  <sheetData>
    <row r="1" ht="19.5" customHeight="1" thickBot="1"/>
    <row r="2" ht="24.75" customFormat="1" customHeight="1" s="1" thickBot="1">
      <c r="A2" s="272" t="n"/>
      <c r="B2" s="433" t="inlineStr">
        <is>
          <t>WIN1</t>
        </is>
      </c>
      <c r="C2" s="442" t="n"/>
      <c r="D2" s="239" t="inlineStr">
        <is>
          <t>WIN2</t>
        </is>
      </c>
      <c r="E2" s="443" t="n"/>
      <c r="F2" s="239" t="inlineStr">
        <is>
          <t>WIN3</t>
        </is>
      </c>
      <c r="G2" s="443" t="n"/>
      <c r="H2" s="239" t="inlineStr">
        <is>
          <t>WIN4</t>
        </is>
      </c>
      <c r="I2" s="443" t="n"/>
      <c r="J2" s="239" t="inlineStr">
        <is>
          <t>WIN5</t>
        </is>
      </c>
      <c r="K2" s="443" t="n"/>
      <c r="L2" s="236" t="inlineStr">
        <is>
          <t>WIN1</t>
        </is>
      </c>
      <c r="M2" s="237" t="inlineStr">
        <is>
          <t>WIN2</t>
        </is>
      </c>
      <c r="N2" s="237" t="inlineStr">
        <is>
          <t>WIN3</t>
        </is>
      </c>
      <c r="O2" s="237" t="inlineStr">
        <is>
          <t>WIN4</t>
        </is>
      </c>
      <c r="P2" s="238" t="inlineStr">
        <is>
          <t>WIN5</t>
        </is>
      </c>
      <c r="Q2" s="320" t="inlineStr">
        <is>
          <t>WIN1</t>
        </is>
      </c>
      <c r="R2" s="321" t="inlineStr">
        <is>
          <t>WIN2</t>
        </is>
      </c>
      <c r="S2" s="321" t="inlineStr">
        <is>
          <t>WIN3</t>
        </is>
      </c>
      <c r="T2" s="321" t="inlineStr">
        <is>
          <t>WIN4</t>
        </is>
      </c>
      <c r="U2" s="322" t="inlineStr">
        <is>
          <t>WIN5</t>
        </is>
      </c>
      <c r="V2" s="239" t="inlineStr">
        <is>
          <t>人気の和</t>
        </is>
      </c>
      <c r="W2" s="239" t="inlineStr">
        <is>
          <t>人気の和</t>
        </is>
      </c>
      <c r="X2" s="442" t="n"/>
      <c r="Y2" s="443" t="n"/>
    </row>
    <row r="3" ht="24" customHeight="1">
      <c r="A3" s="241" t="n">
        <v>1</v>
      </c>
      <c r="B3" s="498" t="n">
        <v>1</v>
      </c>
      <c r="C3" s="279">
        <f>VLOOKUP(B3,オッズデータ入力!C$7:D$25,2,FALSE)</f>
        <v/>
      </c>
      <c r="D3" s="498" t="n">
        <v>1</v>
      </c>
      <c r="E3" s="282">
        <f>VLOOKUP(D3,オッズデータ入力!O$7:P$25,2,FALSE)</f>
        <v/>
      </c>
      <c r="F3" s="498" t="n"/>
      <c r="G3" s="282" t="n"/>
      <c r="H3" s="498" t="n"/>
      <c r="I3" s="282" t="n"/>
      <c r="J3" s="499" t="n"/>
      <c r="K3" s="285" t="n"/>
      <c r="L3" s="273">
        <f>IF(B3&lt;=2,"A",IF(B3&lt;=5,"B",IF(B3&lt;=7,"C",IF(B3&lt;=10,"D",IF(B3&lt;=13,"E",IF(B3&lt;=16,"F",IF(B3&lt;=18,"G")))))))</f>
        <v/>
      </c>
      <c r="M3" s="259">
        <f>IF(D3&lt;=2,"A",IF(D3&lt;=5,"B",IF(D3&lt;=7,"C",IF(D3&lt;=10,"D",IF(D3&lt;=13,"E",IF(D3&lt;=16,"F",IF(D3&lt;=18,"G")))))))</f>
        <v/>
      </c>
      <c r="N3" s="259" t="n"/>
      <c r="O3" s="259" t="n"/>
      <c r="P3" s="274" t="n"/>
      <c r="Q3" s="323">
        <f>C3</f>
        <v/>
      </c>
      <c r="R3" s="324">
        <f>E3</f>
        <v/>
      </c>
      <c r="S3" s="324" t="n"/>
      <c r="T3" s="324" t="n"/>
      <c r="U3" s="335" t="n"/>
      <c r="V3" s="241" t="inlineStr">
        <is>
          <t>14~20</t>
        </is>
      </c>
      <c r="W3" s="273">
        <f>SUM(B3,D3,F3,H3,J3)</f>
        <v/>
      </c>
      <c r="X3" s="259" t="inlineStr">
        <is>
          <t>+</t>
        </is>
      </c>
      <c r="Y3" s="274" t="n"/>
    </row>
    <row r="4" ht="24" customHeight="1">
      <c r="A4" s="245" t="n">
        <v>2</v>
      </c>
      <c r="B4" s="500" t="n">
        <v>1</v>
      </c>
      <c r="C4" s="280">
        <f>VLOOKUP(B4,オッズデータ入力!C$7:D$25,2,FALSE)</f>
        <v/>
      </c>
      <c r="D4" s="500" t="n">
        <v>2</v>
      </c>
      <c r="E4" s="283">
        <f>VLOOKUP(D4,オッズデータ入力!O$7:P$25,2,FALSE)</f>
        <v/>
      </c>
      <c r="F4" s="500" t="n"/>
      <c r="G4" s="283" t="n"/>
      <c r="H4" s="500" t="n"/>
      <c r="I4" s="283" t="n"/>
      <c r="J4" s="501" t="n"/>
      <c r="K4" s="286" t="n"/>
      <c r="L4" s="275">
        <f>IF(B4&lt;=2,"A",IF(B4&lt;=5,"B",IF(B4&lt;=7,"C",IF(B4&lt;=10,"D",IF(B4&lt;=13,"E",IF(B4&lt;=16,"F",IF(B4&lt;=18,"G")))))))</f>
        <v/>
      </c>
      <c r="M4" s="4">
        <f>IF(D4&lt;=2,"A",IF(D4&lt;=5,"B",IF(D4&lt;=7,"C",IF(D4&lt;=10,"D",IF(D4&lt;=13,"E",IF(D4&lt;=16,"F",IF(D4&lt;=18,"G")))))))</f>
        <v/>
      </c>
      <c r="N4" s="4" t="n"/>
      <c r="O4" s="4" t="n"/>
      <c r="P4" s="276" t="n"/>
      <c r="Q4" s="326">
        <f>C4</f>
        <v/>
      </c>
      <c r="R4" s="327">
        <f>E4</f>
        <v/>
      </c>
      <c r="S4" s="327" t="n"/>
      <c r="T4" s="327" t="n"/>
      <c r="U4" s="336" t="n"/>
      <c r="V4" s="245" t="inlineStr">
        <is>
          <t>14~20</t>
        </is>
      </c>
      <c r="W4" s="275">
        <f>SUM(B4,D4,F4,H4,J4)</f>
        <v/>
      </c>
      <c r="X4" s="4" t="inlineStr">
        <is>
          <t>+</t>
        </is>
      </c>
      <c r="Y4" s="276" t="n"/>
    </row>
    <row r="5" ht="24" customHeight="1">
      <c r="A5" s="245" t="n">
        <v>3</v>
      </c>
      <c r="B5" s="500" t="n">
        <v>2</v>
      </c>
      <c r="C5" s="280">
        <f>VLOOKUP(B5,オッズデータ入力!C$7:D$25,2,FALSE)</f>
        <v/>
      </c>
      <c r="D5" s="500" t="n">
        <v>1</v>
      </c>
      <c r="E5" s="283">
        <f>VLOOKUP(D5,オッズデータ入力!O$7:P$25,2,FALSE)</f>
        <v/>
      </c>
      <c r="F5" s="500" t="n"/>
      <c r="G5" s="283" t="n"/>
      <c r="H5" s="500" t="n"/>
      <c r="I5" s="283" t="n"/>
      <c r="J5" s="501" t="n"/>
      <c r="K5" s="286" t="n"/>
      <c r="L5" s="275">
        <f>IF(B5&lt;=2,"A",IF(B5&lt;=5,"B",IF(B5&lt;=7,"C",IF(B5&lt;=10,"D",IF(B5&lt;=13,"E",IF(B5&lt;=16,"F",IF(B5&lt;=18,"G")))))))</f>
        <v/>
      </c>
      <c r="M5" s="4">
        <f>IF(D5&lt;=2,"A",IF(D5&lt;=5,"B",IF(D5&lt;=7,"C",IF(D5&lt;=10,"D",IF(D5&lt;=13,"E",IF(D5&lt;=16,"F",IF(D5&lt;=18,"G")))))))</f>
        <v/>
      </c>
      <c r="N5" s="4" t="n"/>
      <c r="O5" s="4" t="n"/>
      <c r="P5" s="276" t="n"/>
      <c r="Q5" s="326">
        <f>C5</f>
        <v/>
      </c>
      <c r="R5" s="327">
        <f>E5</f>
        <v/>
      </c>
      <c r="S5" s="327" t="n"/>
      <c r="T5" s="327" t="n"/>
      <c r="U5" s="336" t="n"/>
      <c r="V5" s="245" t="inlineStr">
        <is>
          <t>14~20</t>
        </is>
      </c>
      <c r="W5" s="275">
        <f>SUM(B5,D5,F5,H5,J5)</f>
        <v/>
      </c>
      <c r="X5" s="4" t="inlineStr">
        <is>
          <t>+</t>
        </is>
      </c>
      <c r="Y5" s="276" t="n"/>
    </row>
    <row r="6" ht="24.75" customHeight="1" thickBot="1">
      <c r="A6" s="249" t="n">
        <v>4</v>
      </c>
      <c r="B6" s="502" t="n">
        <v>2</v>
      </c>
      <c r="C6" s="281">
        <f>VLOOKUP(B6,オッズデータ入力!C$7:D$25,2,FALSE)</f>
        <v/>
      </c>
      <c r="D6" s="502" t="n">
        <v>2</v>
      </c>
      <c r="E6" s="284">
        <f>VLOOKUP(D6,オッズデータ入力!O$7:P$25,2,FALSE)</f>
        <v/>
      </c>
      <c r="F6" s="502" t="n"/>
      <c r="G6" s="284" t="n"/>
      <c r="H6" s="502" t="n"/>
      <c r="I6" s="284" t="n"/>
      <c r="J6" s="503" t="n"/>
      <c r="K6" s="287" t="n"/>
      <c r="L6" s="277">
        <f>IF(B6&lt;=2,"A",IF(B6&lt;=5,"B",IF(B6&lt;=7,"C",IF(B6&lt;=10,"D",IF(B6&lt;=13,"E",IF(B6&lt;=16,"F",IF(B6&lt;=18,"G")))))))</f>
        <v/>
      </c>
      <c r="M6" s="260">
        <f>IF(D6&lt;=2,"A",IF(D6&lt;=5,"B",IF(D6&lt;=7,"C",IF(D6&lt;=10,"D",IF(D6&lt;=13,"E",IF(D6&lt;=16,"F",IF(D6&lt;=18,"G")))))))</f>
        <v/>
      </c>
      <c r="N6" s="260" t="n"/>
      <c r="O6" s="260" t="n"/>
      <c r="P6" s="278" t="n"/>
      <c r="Q6" s="330">
        <f>C6</f>
        <v/>
      </c>
      <c r="R6" s="331">
        <f>E6</f>
        <v/>
      </c>
      <c r="S6" s="331" t="n"/>
      <c r="T6" s="331" t="n"/>
      <c r="U6" s="337" t="n"/>
      <c r="V6" s="249" t="inlineStr">
        <is>
          <t>14~20</t>
        </is>
      </c>
      <c r="W6" s="345">
        <f>SUM(B6,D6,F6,H6,J6)</f>
        <v/>
      </c>
      <c r="X6" s="346" t="inlineStr">
        <is>
          <t>+</t>
        </is>
      </c>
      <c r="Y6" s="347" t="n"/>
    </row>
    <row r="7" ht="24" customHeight="1">
      <c r="A7" s="243" t="n">
        <v>5</v>
      </c>
      <c r="B7" s="498" t="n">
        <v>1</v>
      </c>
      <c r="C7" s="279">
        <f>VLOOKUP(B7,オッズデータ入力!C$7:D$25,2,FALSE)</f>
        <v/>
      </c>
      <c r="D7" s="254" t="n"/>
      <c r="E7" s="282" t="n"/>
      <c r="F7" s="498" t="n">
        <v>1</v>
      </c>
      <c r="G7" s="282">
        <f>VLOOKUP(F7,オッズデータ入力!AA$7:AB$25,2,FALSE)</f>
        <v/>
      </c>
      <c r="H7" s="254" t="n"/>
      <c r="I7" s="282" t="n"/>
      <c r="J7" s="269" t="n"/>
      <c r="K7" s="285" t="n"/>
      <c r="L7" s="273">
        <f>IF(B7&lt;=2,"A",IF(B7&lt;=5,"B",IF(B7&lt;=7,"C",IF(B7&lt;=10,"D",IF(B7&lt;=13,"E",IF(B7&lt;=16,"F",IF(B7&lt;=18,"G")))))))</f>
        <v/>
      </c>
      <c r="M7" s="259" t="n"/>
      <c r="N7" s="259">
        <f>IF(F7&lt;=2,"A",IF(F7&lt;=5,"B",IF(F7&lt;=7,"C",IF(F7&lt;=10,"D",IF(F7&lt;=13,"E",IF(F7&lt;=16,"F",IF(F7&lt;=18,"G")))))))</f>
        <v/>
      </c>
      <c r="O7" s="259" t="n"/>
      <c r="P7" s="274" t="n"/>
      <c r="Q7" s="338">
        <f>C7</f>
        <v/>
      </c>
      <c r="R7" s="339" t="n"/>
      <c r="S7" s="339">
        <f>G7</f>
        <v/>
      </c>
      <c r="T7" s="339" t="n"/>
      <c r="U7" s="340" t="n"/>
      <c r="V7" s="241" t="inlineStr">
        <is>
          <t>14~20</t>
        </is>
      </c>
      <c r="W7" s="273">
        <f>SUM(B7,D7,F7,H7,J7)</f>
        <v/>
      </c>
      <c r="X7" s="259" t="inlineStr">
        <is>
          <t>+</t>
        </is>
      </c>
      <c r="Y7" s="274" t="n"/>
    </row>
    <row r="8" ht="24" customHeight="1">
      <c r="A8" s="245" t="n">
        <v>6</v>
      </c>
      <c r="B8" s="500" t="n">
        <v>1</v>
      </c>
      <c r="C8" s="280">
        <f>VLOOKUP(B8,オッズデータ入力!C$7:D$25,2,FALSE)</f>
        <v/>
      </c>
      <c r="D8" s="256" t="n"/>
      <c r="E8" s="283" t="n"/>
      <c r="F8" s="500" t="n">
        <v>2</v>
      </c>
      <c r="G8" s="283">
        <f>VLOOKUP(F8,オッズデータ入力!AA$7:AB$25,2,FALSE)</f>
        <v/>
      </c>
      <c r="H8" s="256" t="n"/>
      <c r="I8" s="283" t="n"/>
      <c r="J8" s="270" t="n"/>
      <c r="K8" s="286" t="n"/>
      <c r="L8" s="275">
        <f>IF(B8&lt;=2,"A",IF(B8&lt;=5,"B",IF(B8&lt;=7,"C",IF(B8&lt;=10,"D",IF(B8&lt;=13,"E",IF(B8&lt;=16,"F",IF(B8&lt;=18,"G")))))))</f>
        <v/>
      </c>
      <c r="M8" s="4" t="n"/>
      <c r="N8" s="4">
        <f>IF(F8&lt;=2,"A",IF(F8&lt;=5,"B",IF(F8&lt;=7,"C",IF(F8&lt;=10,"D",IF(F8&lt;=13,"E",IF(F8&lt;=16,"F",IF(F8&lt;=18,"G")))))))</f>
        <v/>
      </c>
      <c r="O8" s="4" t="n"/>
      <c r="P8" s="276" t="n"/>
      <c r="Q8" s="326">
        <f>C8</f>
        <v/>
      </c>
      <c r="R8" s="327" t="n"/>
      <c r="S8" s="327">
        <f>G8</f>
        <v/>
      </c>
      <c r="T8" s="327" t="n"/>
      <c r="U8" s="336" t="n"/>
      <c r="V8" s="245" t="inlineStr">
        <is>
          <t>14~20</t>
        </is>
      </c>
      <c r="W8" s="275">
        <f>SUM(B8,D8,F8,H8,J8)</f>
        <v/>
      </c>
      <c r="X8" s="4" t="inlineStr">
        <is>
          <t>+</t>
        </is>
      </c>
      <c r="Y8" s="276" t="n"/>
    </row>
    <row r="9" ht="24" customHeight="1">
      <c r="A9" s="245" t="n">
        <v>7</v>
      </c>
      <c r="B9" s="500" t="n">
        <v>2</v>
      </c>
      <c r="C9" s="280">
        <f>VLOOKUP(B9,オッズデータ入力!C$7:D$25,2,FALSE)</f>
        <v/>
      </c>
      <c r="D9" s="256" t="n"/>
      <c r="E9" s="283" t="n"/>
      <c r="F9" s="500" t="n">
        <v>1</v>
      </c>
      <c r="G9" s="283">
        <f>VLOOKUP(F9,オッズデータ入力!AA$7:AB$25,2,FALSE)</f>
        <v/>
      </c>
      <c r="H9" s="256" t="n"/>
      <c r="I9" s="283" t="n"/>
      <c r="J9" s="270" t="n"/>
      <c r="K9" s="286" t="n"/>
      <c r="L9" s="275">
        <f>IF(B9&lt;=2,"A",IF(B9&lt;=5,"B",IF(B9&lt;=7,"C",IF(B9&lt;=10,"D",IF(B9&lt;=13,"E",IF(B9&lt;=16,"F",IF(B9&lt;=18,"G")))))))</f>
        <v/>
      </c>
      <c r="M9" s="4" t="n"/>
      <c r="N9" s="4">
        <f>IF(F9&lt;=2,"A",IF(F9&lt;=5,"B",IF(F9&lt;=7,"C",IF(F9&lt;=10,"D",IF(F9&lt;=13,"E",IF(F9&lt;=16,"F",IF(F9&lt;=18,"G")))))))</f>
        <v/>
      </c>
      <c r="O9" s="4" t="n"/>
      <c r="P9" s="276" t="n"/>
      <c r="Q9" s="326">
        <f>C9</f>
        <v/>
      </c>
      <c r="R9" s="327" t="n"/>
      <c r="S9" s="327">
        <f>G9</f>
        <v/>
      </c>
      <c r="T9" s="327" t="n"/>
      <c r="U9" s="336" t="n"/>
      <c r="V9" s="245" t="inlineStr">
        <is>
          <t>14~20</t>
        </is>
      </c>
      <c r="W9" s="275">
        <f>SUM(B9,D9,F9,H9,J9)</f>
        <v/>
      </c>
      <c r="X9" s="4" t="inlineStr">
        <is>
          <t>+</t>
        </is>
      </c>
      <c r="Y9" s="276" t="n"/>
    </row>
    <row r="10" ht="24.75" customHeight="1" thickBot="1">
      <c r="A10" s="247" t="n">
        <v>8</v>
      </c>
      <c r="B10" s="502" t="n">
        <v>2</v>
      </c>
      <c r="C10" s="281">
        <f>VLOOKUP(B10,オッズデータ入力!C$7:D$25,2,FALSE)</f>
        <v/>
      </c>
      <c r="D10" s="257" t="n"/>
      <c r="E10" s="284" t="n"/>
      <c r="F10" s="502" t="n">
        <v>2</v>
      </c>
      <c r="G10" s="284">
        <f>VLOOKUP(F10,オッズデータ入力!AA$7:AB$25,2,FALSE)</f>
        <v/>
      </c>
      <c r="H10" s="257" t="n"/>
      <c r="I10" s="284" t="n"/>
      <c r="J10" s="271" t="n"/>
      <c r="K10" s="287" t="n"/>
      <c r="L10" s="277">
        <f>IF(B10&lt;=2,"A",IF(B10&lt;=5,"B",IF(B10&lt;=7,"C",IF(B10&lt;=10,"D",IF(B10&lt;=13,"E",IF(B10&lt;=16,"F",IF(B10&lt;=18,"G")))))))</f>
        <v/>
      </c>
      <c r="M10" s="260" t="n"/>
      <c r="N10" s="260">
        <f>IF(F10&lt;=2,"A",IF(F10&lt;=5,"B",IF(F10&lt;=7,"C",IF(F10&lt;=10,"D",IF(F10&lt;=13,"E",IF(F10&lt;=16,"F",IF(F10&lt;=18,"G")))))))</f>
        <v/>
      </c>
      <c r="O10" s="260" t="n"/>
      <c r="P10" s="278" t="n"/>
      <c r="Q10" s="330">
        <f>C10</f>
        <v/>
      </c>
      <c r="R10" s="331" t="n"/>
      <c r="S10" s="331">
        <f>G10</f>
        <v/>
      </c>
      <c r="T10" s="331" t="n"/>
      <c r="U10" s="337" t="n"/>
      <c r="V10" s="249" t="inlineStr">
        <is>
          <t>14~20</t>
        </is>
      </c>
      <c r="W10" s="277">
        <f>SUM(B10,D10,F10,H10,J10)</f>
        <v/>
      </c>
      <c r="X10" s="260" t="inlineStr">
        <is>
          <t>+</t>
        </is>
      </c>
      <c r="Y10" s="278" t="n"/>
    </row>
    <row r="11" ht="24" customHeight="1">
      <c r="A11" s="241" t="n">
        <v>9</v>
      </c>
      <c r="B11" s="498" t="n">
        <v>1</v>
      </c>
      <c r="C11" s="279">
        <f>VLOOKUP(B11,オッズデータ入力!C$7:D$25,2,FALSE)</f>
        <v/>
      </c>
      <c r="D11" s="254" t="n"/>
      <c r="E11" s="282" t="n"/>
      <c r="F11" s="254" t="n"/>
      <c r="G11" s="282" t="n"/>
      <c r="H11" s="498" t="n">
        <v>1</v>
      </c>
      <c r="I11" s="282">
        <f>VLOOKUP(H11,オッズデータ入力!AM$7:AN$25,2,FALSE)</f>
        <v/>
      </c>
      <c r="J11" s="269" t="n"/>
      <c r="K11" s="285" t="n"/>
      <c r="L11" s="273">
        <f>IF(B11&lt;=2,"A",IF(B11&lt;=5,"B",IF(B11&lt;=7,"C",IF(B11&lt;=10,"D",IF(B11&lt;=13,"E",IF(B11&lt;=16,"F",IF(B11&lt;=18,"G")))))))</f>
        <v/>
      </c>
      <c r="M11" s="259" t="n"/>
      <c r="N11" s="259" t="n"/>
      <c r="O11" s="259">
        <f>IF(H11&lt;=2,"A",IF(H11&lt;=5,"B",IF(H11&lt;=7,"C",IF(H11&lt;=10,"D",IF(H11&lt;=13,"E",IF(H11&lt;=16,"F",IF(H11&lt;=18,"G")))))))</f>
        <v/>
      </c>
      <c r="P11" s="274" t="n"/>
      <c r="Q11" s="323">
        <f>C11</f>
        <v/>
      </c>
      <c r="R11" s="324" t="n"/>
      <c r="S11" s="324" t="n"/>
      <c r="T11" s="324">
        <f>I11</f>
        <v/>
      </c>
      <c r="U11" s="335" t="n"/>
      <c r="V11" s="241" t="inlineStr">
        <is>
          <t>14~20</t>
        </is>
      </c>
      <c r="W11" s="348">
        <f>SUM(B11,D11,F11,H11,J11)</f>
        <v/>
      </c>
      <c r="X11" s="349" t="inlineStr">
        <is>
          <t>+</t>
        </is>
      </c>
      <c r="Y11" s="350" t="n"/>
    </row>
    <row r="12" ht="24" customHeight="1">
      <c r="A12" s="245" t="n">
        <v>10</v>
      </c>
      <c r="B12" s="500" t="n">
        <v>1</v>
      </c>
      <c r="C12" s="280">
        <f>VLOOKUP(B12,オッズデータ入力!C$7:D$25,2,FALSE)</f>
        <v/>
      </c>
      <c r="D12" s="256" t="n"/>
      <c r="E12" s="283" t="n"/>
      <c r="F12" s="256" t="n"/>
      <c r="G12" s="283" t="n"/>
      <c r="H12" s="500" t="n">
        <v>2</v>
      </c>
      <c r="I12" s="283">
        <f>VLOOKUP(H12,オッズデータ入力!AM$7:AN$25,2,FALSE)</f>
        <v/>
      </c>
      <c r="J12" s="270" t="n"/>
      <c r="K12" s="286" t="n"/>
      <c r="L12" s="275">
        <f>IF(B12&lt;=2,"A",IF(B12&lt;=5,"B",IF(B12&lt;=7,"C",IF(B12&lt;=10,"D",IF(B12&lt;=13,"E",IF(B12&lt;=16,"F",IF(B12&lt;=18,"G")))))))</f>
        <v/>
      </c>
      <c r="M12" s="4" t="n"/>
      <c r="N12" s="4" t="n"/>
      <c r="O12" s="4">
        <f>IF(H12&lt;=2,"A",IF(H12&lt;=5,"B",IF(H12&lt;=7,"C",IF(H12&lt;=10,"D",IF(H12&lt;=13,"E",IF(H12&lt;=16,"F",IF(H12&lt;=18,"G")))))))</f>
        <v/>
      </c>
      <c r="P12" s="276" t="n"/>
      <c r="Q12" s="326">
        <f>C12</f>
        <v/>
      </c>
      <c r="R12" s="327" t="n"/>
      <c r="S12" s="327" t="n"/>
      <c r="T12" s="327">
        <f>I12</f>
        <v/>
      </c>
      <c r="U12" s="336" t="n"/>
      <c r="V12" s="245" t="inlineStr">
        <is>
          <t>14~20</t>
        </is>
      </c>
      <c r="W12" s="275">
        <f>SUM(B12,D12,F12,H12,J12)</f>
        <v/>
      </c>
      <c r="X12" s="4" t="inlineStr">
        <is>
          <t>+</t>
        </is>
      </c>
      <c r="Y12" s="276" t="n"/>
    </row>
    <row r="13" ht="24" customHeight="1">
      <c r="A13" s="245" t="n">
        <v>11</v>
      </c>
      <c r="B13" s="500" t="n">
        <v>2</v>
      </c>
      <c r="C13" s="280">
        <f>VLOOKUP(B13,オッズデータ入力!C$7:D$25,2,FALSE)</f>
        <v/>
      </c>
      <c r="D13" s="256" t="n"/>
      <c r="E13" s="283" t="n"/>
      <c r="F13" s="256" t="n"/>
      <c r="G13" s="283" t="n"/>
      <c r="H13" s="500" t="n">
        <v>1</v>
      </c>
      <c r="I13" s="283">
        <f>VLOOKUP(H13,オッズデータ入力!AM$7:AN$25,2,FALSE)</f>
        <v/>
      </c>
      <c r="J13" s="270" t="n"/>
      <c r="K13" s="286" t="n"/>
      <c r="L13" s="275">
        <f>IF(B13&lt;=2,"A",IF(B13&lt;=5,"B",IF(B13&lt;=7,"C",IF(B13&lt;=10,"D",IF(B13&lt;=13,"E",IF(B13&lt;=16,"F",IF(B13&lt;=18,"G")))))))</f>
        <v/>
      </c>
      <c r="M13" s="4" t="n"/>
      <c r="N13" s="4" t="n"/>
      <c r="O13" s="4">
        <f>IF(H13&lt;=2,"A",IF(H13&lt;=5,"B",IF(H13&lt;=7,"C",IF(H13&lt;=10,"D",IF(H13&lt;=13,"E",IF(H13&lt;=16,"F",IF(H13&lt;=18,"G")))))))</f>
        <v/>
      </c>
      <c r="P13" s="276" t="n"/>
      <c r="Q13" s="326">
        <f>C13</f>
        <v/>
      </c>
      <c r="R13" s="327" t="n"/>
      <c r="S13" s="327" t="n"/>
      <c r="T13" s="327">
        <f>I13</f>
        <v/>
      </c>
      <c r="U13" s="336" t="n"/>
      <c r="V13" s="245" t="inlineStr">
        <is>
          <t>14~20</t>
        </is>
      </c>
      <c r="W13" s="275">
        <f>SUM(B13,D13,F13,H13,J13)</f>
        <v/>
      </c>
      <c r="X13" s="4" t="inlineStr">
        <is>
          <t>+</t>
        </is>
      </c>
      <c r="Y13" s="276" t="n"/>
    </row>
    <row r="14" ht="24.75" customHeight="1" thickBot="1">
      <c r="A14" s="249" t="n">
        <v>12</v>
      </c>
      <c r="B14" s="502" t="n">
        <v>2</v>
      </c>
      <c r="C14" s="281">
        <f>VLOOKUP(B14,オッズデータ入力!C$7:D$25,2,FALSE)</f>
        <v/>
      </c>
      <c r="D14" s="257" t="n"/>
      <c r="E14" s="284" t="n"/>
      <c r="F14" s="257" t="n"/>
      <c r="G14" s="284" t="n"/>
      <c r="H14" s="502" t="n">
        <v>2</v>
      </c>
      <c r="I14" s="284">
        <f>VLOOKUP(H14,オッズデータ入力!AM$7:AN$25,2,FALSE)</f>
        <v/>
      </c>
      <c r="J14" s="271" t="n"/>
      <c r="K14" s="287" t="n"/>
      <c r="L14" s="277">
        <f>IF(B14&lt;=2,"A",IF(B14&lt;=5,"B",IF(B14&lt;=7,"C",IF(B14&lt;=10,"D",IF(B14&lt;=13,"E",IF(B14&lt;=16,"F",IF(B14&lt;=18,"G")))))))</f>
        <v/>
      </c>
      <c r="M14" s="260" t="n"/>
      <c r="N14" s="260" t="n"/>
      <c r="O14" s="260">
        <f>IF(H14&lt;=2,"A",IF(H14&lt;=5,"B",IF(H14&lt;=7,"C",IF(H14&lt;=10,"D",IF(H14&lt;=13,"E",IF(H14&lt;=16,"F",IF(H14&lt;=18,"G")))))))</f>
        <v/>
      </c>
      <c r="P14" s="278" t="n"/>
      <c r="Q14" s="341">
        <f>C14</f>
        <v/>
      </c>
      <c r="R14" s="342" t="n"/>
      <c r="S14" s="342" t="n"/>
      <c r="T14" s="342">
        <f>I14</f>
        <v/>
      </c>
      <c r="U14" s="343" t="n"/>
      <c r="V14" s="249" t="inlineStr">
        <is>
          <t>14~20</t>
        </is>
      </c>
      <c r="W14" s="345">
        <f>SUM(B14,D14,F14,H14,J14)</f>
        <v/>
      </c>
      <c r="X14" s="346" t="inlineStr">
        <is>
          <t>+</t>
        </is>
      </c>
      <c r="Y14" s="347" t="n"/>
    </row>
    <row r="15" ht="24" customHeight="1">
      <c r="A15" s="243" t="n">
        <v>13</v>
      </c>
      <c r="B15" s="498" t="n">
        <v>1</v>
      </c>
      <c r="C15" s="279">
        <f>VLOOKUP(B15,オッズデータ入力!C$7:D$25,2,FALSE)</f>
        <v/>
      </c>
      <c r="D15" s="254" t="n"/>
      <c r="E15" s="282" t="n"/>
      <c r="F15" s="254" t="n"/>
      <c r="G15" s="282" t="n"/>
      <c r="H15" s="254" t="n"/>
      <c r="I15" s="282" t="n"/>
      <c r="J15" s="499" t="n">
        <v>1</v>
      </c>
      <c r="K15" s="282">
        <f>VLOOKUP(J15,オッズデータ入力!AY$7:AZ$25,2,FALSE)</f>
        <v/>
      </c>
      <c r="L15" s="273">
        <f>IF(B15&lt;=2,"A",IF(B15&lt;=5,"B",IF(B15&lt;=7,"C",IF(B15&lt;=10,"D",IF(B15&lt;=13,"E",IF(B15&lt;=16,"F",IF(B15&lt;=18,"G")))))))</f>
        <v/>
      </c>
      <c r="M15" s="259" t="n"/>
      <c r="N15" s="259" t="n"/>
      <c r="O15" s="259" t="n"/>
      <c r="P15" s="264">
        <f>IF(J15&lt;=2,"A",IF(J15&lt;=5,"B",IF(J15&lt;=7,"C",IF(J15&lt;=10,"D",IF(J15&lt;=13,"E",IF(J15&lt;=16,"F",IF(J15&lt;=18,"G")))))))</f>
        <v/>
      </c>
      <c r="Q15" s="323">
        <f>C15</f>
        <v/>
      </c>
      <c r="R15" s="324" t="n"/>
      <c r="S15" s="324" t="n"/>
      <c r="T15" s="324" t="n"/>
      <c r="U15" s="335">
        <f>K15</f>
        <v/>
      </c>
      <c r="V15" s="241" t="inlineStr">
        <is>
          <t>14~20</t>
        </is>
      </c>
      <c r="W15" s="273">
        <f>SUM(B15,D15,F15,H15,J15)</f>
        <v/>
      </c>
      <c r="X15" s="259" t="inlineStr">
        <is>
          <t>+</t>
        </is>
      </c>
      <c r="Y15" s="274" t="n"/>
    </row>
    <row r="16" ht="24" customHeight="1">
      <c r="A16" s="245" t="n">
        <v>14</v>
      </c>
      <c r="B16" s="500" t="n">
        <v>1</v>
      </c>
      <c r="C16" s="280">
        <f>VLOOKUP(B16,オッズデータ入力!C$7:D$25,2,FALSE)</f>
        <v/>
      </c>
      <c r="D16" s="256" t="n"/>
      <c r="E16" s="283" t="n"/>
      <c r="F16" s="256" t="n"/>
      <c r="G16" s="283" t="n"/>
      <c r="H16" s="256" t="n"/>
      <c r="I16" s="283" t="n"/>
      <c r="J16" s="501" t="n">
        <v>2</v>
      </c>
      <c r="K16" s="286">
        <f>VLOOKUP(J16,オッズデータ入力!AY$7:AZ$25,2,FALSE)</f>
        <v/>
      </c>
      <c r="L16" s="275">
        <f>IF(B16&lt;=2,"A",IF(B16&lt;=5,"B",IF(B16&lt;=7,"C",IF(B16&lt;=10,"D",IF(B16&lt;=13,"E",IF(B16&lt;=16,"F",IF(B16&lt;=18,"G")))))))</f>
        <v/>
      </c>
      <c r="M16" s="4" t="n"/>
      <c r="N16" s="4" t="n"/>
      <c r="O16" s="4" t="n"/>
      <c r="P16" s="3">
        <f>IF(J16&lt;=2,"A",IF(J16&lt;=5,"B",IF(J16&lt;=7,"C",IF(J16&lt;=10,"D",IF(J16&lt;=13,"E",IF(J16&lt;=16,"F",IF(J16&lt;=18,"G")))))))</f>
        <v/>
      </c>
      <c r="Q16" s="326">
        <f>C16</f>
        <v/>
      </c>
      <c r="R16" s="327" t="n"/>
      <c r="S16" s="327" t="n"/>
      <c r="T16" s="327" t="n"/>
      <c r="U16" s="336">
        <f>K16</f>
        <v/>
      </c>
      <c r="V16" s="245" t="inlineStr">
        <is>
          <t>14~20</t>
        </is>
      </c>
      <c r="W16" s="275">
        <f>SUM(B16,D16,F16,H16,J16)</f>
        <v/>
      </c>
      <c r="X16" s="4" t="inlineStr">
        <is>
          <t>+</t>
        </is>
      </c>
      <c r="Y16" s="276" t="n"/>
    </row>
    <row r="17" ht="24" customHeight="1">
      <c r="A17" s="245" t="n">
        <v>15</v>
      </c>
      <c r="B17" s="500" t="n">
        <v>2</v>
      </c>
      <c r="C17" s="280">
        <f>VLOOKUP(B17,オッズデータ入力!C$7:D$25,2,FALSE)</f>
        <v/>
      </c>
      <c r="D17" s="256" t="n"/>
      <c r="E17" s="283" t="n"/>
      <c r="F17" s="256" t="n"/>
      <c r="G17" s="283" t="n"/>
      <c r="H17" s="256" t="n"/>
      <c r="I17" s="283" t="n"/>
      <c r="J17" s="501" t="n">
        <v>1</v>
      </c>
      <c r="K17" s="286">
        <f>VLOOKUP(J17,オッズデータ入力!AY$7:AZ$25,2,FALSE)</f>
        <v/>
      </c>
      <c r="L17" s="275">
        <f>IF(B17&lt;=2,"A",IF(B17&lt;=5,"B",IF(B17&lt;=7,"C",IF(B17&lt;=10,"D",IF(B17&lt;=13,"E",IF(B17&lt;=16,"F",IF(B17&lt;=18,"G")))))))</f>
        <v/>
      </c>
      <c r="M17" s="4" t="n"/>
      <c r="N17" s="4" t="n"/>
      <c r="O17" s="4" t="n"/>
      <c r="P17" s="3">
        <f>IF(J17&lt;=2,"A",IF(J17&lt;=5,"B",IF(J17&lt;=7,"C",IF(J17&lt;=10,"D",IF(J17&lt;=13,"E",IF(J17&lt;=16,"F",IF(J17&lt;=18,"G")))))))</f>
        <v/>
      </c>
      <c r="Q17" s="326">
        <f>C17</f>
        <v/>
      </c>
      <c r="R17" s="327" t="n"/>
      <c r="S17" s="327" t="n"/>
      <c r="T17" s="327" t="n"/>
      <c r="U17" s="336">
        <f>K17</f>
        <v/>
      </c>
      <c r="V17" s="245" t="inlineStr">
        <is>
          <t>14~20</t>
        </is>
      </c>
      <c r="W17" s="275">
        <f>SUM(B17,D17,F17,H17,J17)</f>
        <v/>
      </c>
      <c r="X17" s="4" t="inlineStr">
        <is>
          <t>+</t>
        </is>
      </c>
      <c r="Y17" s="276" t="n"/>
    </row>
    <row r="18" ht="24.75" customHeight="1" thickBot="1">
      <c r="A18" s="247" t="n">
        <v>16</v>
      </c>
      <c r="B18" s="502" t="n">
        <v>2</v>
      </c>
      <c r="C18" s="281">
        <f>VLOOKUP(B18,オッズデータ入力!C$7:D$25,2,FALSE)</f>
        <v/>
      </c>
      <c r="D18" s="257" t="n"/>
      <c r="E18" s="284" t="n"/>
      <c r="F18" s="257" t="n"/>
      <c r="G18" s="284" t="n"/>
      <c r="H18" s="257" t="n"/>
      <c r="I18" s="284" t="n"/>
      <c r="J18" s="503" t="n">
        <v>2</v>
      </c>
      <c r="K18" s="287">
        <f>VLOOKUP(J18,オッズデータ入力!AY$7:AZ$25,2,FALSE)</f>
        <v/>
      </c>
      <c r="L18" s="277">
        <f>IF(B18&lt;=2,"A",IF(B18&lt;=5,"B",IF(B18&lt;=7,"C",IF(B18&lt;=10,"D",IF(B18&lt;=13,"E",IF(B18&lt;=16,"F",IF(B18&lt;=18,"G")))))))</f>
        <v/>
      </c>
      <c r="M18" s="260" t="n"/>
      <c r="N18" s="260" t="n"/>
      <c r="O18" s="260" t="n"/>
      <c r="P18" s="265">
        <f>IF(J18&lt;=2,"A",IF(J18&lt;=5,"B",IF(J18&lt;=7,"C",IF(J18&lt;=10,"D",IF(J18&lt;=13,"E",IF(J18&lt;=16,"F",IF(J18&lt;=18,"G")))))))</f>
        <v/>
      </c>
      <c r="Q18" s="330">
        <f>C18</f>
        <v/>
      </c>
      <c r="R18" s="331" t="n"/>
      <c r="S18" s="331" t="n"/>
      <c r="T18" s="331" t="n"/>
      <c r="U18" s="337">
        <f>K18</f>
        <v/>
      </c>
      <c r="V18" s="249" t="inlineStr">
        <is>
          <t>14~20</t>
        </is>
      </c>
      <c r="W18" s="277">
        <f>SUM(B18,D18,F18,H18,J18)</f>
        <v/>
      </c>
      <c r="X18" s="260" t="inlineStr">
        <is>
          <t>+</t>
        </is>
      </c>
      <c r="Y18" s="278" t="n"/>
    </row>
    <row r="19" ht="24" customHeight="1">
      <c r="A19" s="241" t="n">
        <v>17</v>
      </c>
      <c r="B19" s="498" t="n"/>
      <c r="C19" s="261" t="n"/>
      <c r="D19" s="498" t="n">
        <v>1</v>
      </c>
      <c r="E19" s="282">
        <f>VLOOKUP(D19,オッズデータ入力!O$7:P$25,2,FALSE)</f>
        <v/>
      </c>
      <c r="F19" s="498" t="n">
        <v>1</v>
      </c>
      <c r="G19" s="282">
        <f>VLOOKUP(F19,オッズデータ入力!AA$7:AB$25,2,FALSE)</f>
        <v/>
      </c>
      <c r="H19" s="498" t="n"/>
      <c r="I19" s="282" t="n"/>
      <c r="J19" s="499" t="n"/>
      <c r="K19" s="285" t="n"/>
      <c r="L19" s="273" t="n"/>
      <c r="M19" s="259">
        <f>IF(D19&lt;=2,"A",IF(D19&lt;=5,"B",IF(D19&lt;=7,"C",IF(D19&lt;=10,"D",IF(D19&lt;=13,"E",IF(D19&lt;=16,"F",IF(D19&lt;=18,"G")))))))</f>
        <v/>
      </c>
      <c r="N19" s="259">
        <f>IF(H19&lt;=2,"A",IF(H19&lt;=5,"B",IF(H19&lt;=7,"C",IF(H19&lt;=10,"D",IF(H19&lt;=13,"E",IF(H19&lt;=16,"F",IF(H19&lt;=18,"G")))))))</f>
        <v/>
      </c>
      <c r="O19" s="259" t="n"/>
      <c r="P19" s="274" t="n"/>
      <c r="Q19" s="323" t="n"/>
      <c r="R19" s="324">
        <f>E19</f>
        <v/>
      </c>
      <c r="S19" s="324">
        <f>G19</f>
        <v/>
      </c>
      <c r="T19" s="324" t="n"/>
      <c r="U19" s="335" t="n"/>
      <c r="V19" s="241" t="inlineStr">
        <is>
          <t>14~20</t>
        </is>
      </c>
      <c r="W19" s="348">
        <f>SUM(B19,D19,F19,H19,J19)</f>
        <v/>
      </c>
      <c r="X19" s="349" t="inlineStr">
        <is>
          <t>+</t>
        </is>
      </c>
      <c r="Y19" s="350" t="n"/>
    </row>
    <row r="20" ht="24" customHeight="1">
      <c r="A20" s="245" t="n">
        <v>18</v>
      </c>
      <c r="B20" s="500" t="n"/>
      <c r="C20" s="262" t="n"/>
      <c r="D20" s="500" t="n">
        <v>1</v>
      </c>
      <c r="E20" s="283">
        <f>VLOOKUP(D20,オッズデータ入力!O$7:P$25,2,FALSE)</f>
        <v/>
      </c>
      <c r="F20" s="500" t="n">
        <v>2</v>
      </c>
      <c r="G20" s="283">
        <f>VLOOKUP(F20,オッズデータ入力!AA$7:AB$25,2,FALSE)</f>
        <v/>
      </c>
      <c r="H20" s="500" t="n"/>
      <c r="I20" s="283" t="n"/>
      <c r="J20" s="501" t="n"/>
      <c r="K20" s="286" t="n"/>
      <c r="L20" s="275" t="n"/>
      <c r="M20" s="4">
        <f>IF(D20&lt;=2,"A",IF(D20&lt;=5,"B",IF(D20&lt;=7,"C",IF(D20&lt;=10,"D",IF(D20&lt;=13,"E",IF(D20&lt;=16,"F",IF(D20&lt;=18,"G")))))))</f>
        <v/>
      </c>
      <c r="N20" s="4">
        <f>IF(H20&lt;=2,"A",IF(H20&lt;=5,"B",IF(H20&lt;=7,"C",IF(H20&lt;=10,"D",IF(H20&lt;=13,"E",IF(H20&lt;=16,"F",IF(H20&lt;=18,"G")))))))</f>
        <v/>
      </c>
      <c r="O20" s="4" t="n"/>
      <c r="P20" s="276" t="n"/>
      <c r="Q20" s="326" t="n"/>
      <c r="R20" s="327">
        <f>E20</f>
        <v/>
      </c>
      <c r="S20" s="327">
        <f>G20</f>
        <v/>
      </c>
      <c r="T20" s="327" t="n"/>
      <c r="U20" s="336" t="n"/>
      <c r="V20" s="245" t="inlineStr">
        <is>
          <t>14~20</t>
        </is>
      </c>
      <c r="W20" s="275">
        <f>SUM(B20,D20,F20,H20,J20)</f>
        <v/>
      </c>
      <c r="X20" s="4" t="inlineStr">
        <is>
          <t>+</t>
        </is>
      </c>
      <c r="Y20" s="276" t="n"/>
    </row>
    <row r="21" ht="24" customHeight="1">
      <c r="A21" s="245" t="n">
        <v>19</v>
      </c>
      <c r="B21" s="500" t="n"/>
      <c r="C21" s="262" t="n"/>
      <c r="D21" s="500" t="n">
        <v>2</v>
      </c>
      <c r="E21" s="283">
        <f>VLOOKUP(D21,オッズデータ入力!O$7:P$25,2,FALSE)</f>
        <v/>
      </c>
      <c r="F21" s="500" t="n">
        <v>1</v>
      </c>
      <c r="G21" s="283">
        <f>VLOOKUP(F21,オッズデータ入力!AA$7:AB$25,2,FALSE)</f>
        <v/>
      </c>
      <c r="H21" s="500" t="n"/>
      <c r="I21" s="283" t="n"/>
      <c r="J21" s="501" t="n"/>
      <c r="K21" s="286" t="n"/>
      <c r="L21" s="275" t="n"/>
      <c r="M21" s="4">
        <f>IF(D21&lt;=2,"A",IF(D21&lt;=5,"B",IF(D21&lt;=7,"C",IF(D21&lt;=10,"D",IF(D21&lt;=13,"E",IF(D21&lt;=16,"F",IF(D21&lt;=18,"G")))))))</f>
        <v/>
      </c>
      <c r="N21" s="4">
        <f>IF(H21&lt;=2,"A",IF(H21&lt;=5,"B",IF(H21&lt;=7,"C",IF(H21&lt;=10,"D",IF(H21&lt;=13,"E",IF(H21&lt;=16,"F",IF(H21&lt;=18,"G")))))))</f>
        <v/>
      </c>
      <c r="O21" s="4" t="n"/>
      <c r="P21" s="276" t="n"/>
      <c r="Q21" s="326" t="n"/>
      <c r="R21" s="327">
        <f>E21</f>
        <v/>
      </c>
      <c r="S21" s="327">
        <f>G21</f>
        <v/>
      </c>
      <c r="T21" s="327" t="n"/>
      <c r="U21" s="336" t="n"/>
      <c r="V21" s="245" t="inlineStr">
        <is>
          <t>14~20</t>
        </is>
      </c>
      <c r="W21" s="275">
        <f>SUM(B21,D21,F21,H21,J21)</f>
        <v/>
      </c>
      <c r="X21" s="4" t="inlineStr">
        <is>
          <t>+</t>
        </is>
      </c>
      <c r="Y21" s="276" t="n"/>
    </row>
    <row r="22" ht="24.75" customHeight="1" thickBot="1">
      <c r="A22" s="249" t="n">
        <v>20</v>
      </c>
      <c r="B22" s="502" t="n"/>
      <c r="C22" s="263" t="n"/>
      <c r="D22" s="502" t="n">
        <v>2</v>
      </c>
      <c r="E22" s="284">
        <f>VLOOKUP(D22,オッズデータ入力!O$7:P$25,2,FALSE)</f>
        <v/>
      </c>
      <c r="F22" s="502" t="n">
        <v>2</v>
      </c>
      <c r="G22" s="284">
        <f>VLOOKUP(F22,オッズデータ入力!AA$7:AB$25,2,FALSE)</f>
        <v/>
      </c>
      <c r="H22" s="502" t="n"/>
      <c r="I22" s="284" t="n"/>
      <c r="J22" s="503" t="n"/>
      <c r="K22" s="287" t="n"/>
      <c r="L22" s="277" t="n"/>
      <c r="M22" s="260">
        <f>IF(D22&lt;=2,"A",IF(D22&lt;=5,"B",IF(D22&lt;=7,"C",IF(D22&lt;=10,"D",IF(D22&lt;=13,"E",IF(D22&lt;=16,"F",IF(D22&lt;=18,"G")))))))</f>
        <v/>
      </c>
      <c r="N22" s="260">
        <f>IF(H22&lt;=2,"A",IF(H22&lt;=5,"B",IF(H22&lt;=7,"C",IF(H22&lt;=10,"D",IF(H22&lt;=13,"E",IF(H22&lt;=16,"F",IF(H22&lt;=18,"G")))))))</f>
        <v/>
      </c>
      <c r="O22" s="260" t="n"/>
      <c r="P22" s="278" t="n"/>
      <c r="Q22" s="330" t="n"/>
      <c r="R22" s="331">
        <f>E22</f>
        <v/>
      </c>
      <c r="S22" s="331">
        <f>G22</f>
        <v/>
      </c>
      <c r="T22" s="331" t="n"/>
      <c r="U22" s="337" t="n"/>
      <c r="V22" s="249" t="inlineStr">
        <is>
          <t>14~20</t>
        </is>
      </c>
      <c r="W22" s="345">
        <f>SUM(B22,D22,F22,H22,J22)</f>
        <v/>
      </c>
      <c r="X22" s="346" t="inlineStr">
        <is>
          <t>+</t>
        </is>
      </c>
      <c r="Y22" s="347" t="n"/>
    </row>
    <row r="23" ht="24" customHeight="1">
      <c r="A23" s="243" t="n">
        <v>21</v>
      </c>
      <c r="B23" s="498" t="n"/>
      <c r="C23" s="261" t="n"/>
      <c r="D23" s="498" t="n">
        <v>1</v>
      </c>
      <c r="E23" s="282">
        <f>VLOOKUP(D23,オッズデータ入力!O$7:P$25,2,FALSE)</f>
        <v/>
      </c>
      <c r="F23" s="498" t="n"/>
      <c r="G23" s="282" t="n"/>
      <c r="H23" s="498" t="n">
        <v>1</v>
      </c>
      <c r="I23" s="282">
        <f>VLOOKUP(H23,オッズデータ入力!AM$7:AN$25,2,FALSE)</f>
        <v/>
      </c>
      <c r="J23" s="499" t="n"/>
      <c r="K23" s="285" t="n"/>
      <c r="L23" s="273" t="n"/>
      <c r="M23" s="259">
        <f>IF(D23&lt;=2,"A",IF(D23&lt;=5,"B",IF(D23&lt;=7,"C",IF(D23&lt;=10,"D",IF(D23&lt;=13,"E",IF(D23&lt;=16,"F",IF(D23&lt;=18,"G")))))))</f>
        <v/>
      </c>
      <c r="N23" s="259" t="n"/>
      <c r="O23" s="259">
        <f>IF(H23&lt;=2,"A",IF(H23&lt;=5,"B",IF(H23&lt;=7,"C",IF(H23&lt;=10,"D",IF(H23&lt;=13,"E",IF(H23&lt;=16,"F",IF(H23&lt;=18,"G")))))))</f>
        <v/>
      </c>
      <c r="P23" s="274" t="n"/>
      <c r="Q23" s="338" t="n"/>
      <c r="R23" s="339">
        <f>E23</f>
        <v/>
      </c>
      <c r="S23" s="339" t="n"/>
      <c r="T23" s="339">
        <f>I23</f>
        <v/>
      </c>
      <c r="U23" s="340" t="n"/>
      <c r="V23" s="241" t="inlineStr">
        <is>
          <t>14~20</t>
        </is>
      </c>
      <c r="W23" s="273">
        <f>SUM(B23,D23,F23,H23,J23)</f>
        <v/>
      </c>
      <c r="X23" s="259" t="inlineStr">
        <is>
          <t>+</t>
        </is>
      </c>
      <c r="Y23" s="274" t="n"/>
    </row>
    <row r="24" ht="24" customHeight="1">
      <c r="A24" s="245" t="n">
        <v>22</v>
      </c>
      <c r="B24" s="500" t="n"/>
      <c r="C24" s="262" t="n"/>
      <c r="D24" s="500" t="n">
        <v>1</v>
      </c>
      <c r="E24" s="283">
        <f>VLOOKUP(D24,オッズデータ入力!O$7:P$25,2,FALSE)</f>
        <v/>
      </c>
      <c r="F24" s="500" t="n"/>
      <c r="G24" s="283" t="n"/>
      <c r="H24" s="500" t="n">
        <v>2</v>
      </c>
      <c r="I24" s="283">
        <f>VLOOKUP(H24,オッズデータ入力!AM$7:AN$25,2,FALSE)</f>
        <v/>
      </c>
      <c r="J24" s="501" t="n"/>
      <c r="K24" s="286" t="n"/>
      <c r="L24" s="275" t="n"/>
      <c r="M24" s="4">
        <f>IF(D24&lt;=2,"A",IF(D24&lt;=5,"B",IF(D24&lt;=7,"C",IF(D24&lt;=10,"D",IF(D24&lt;=13,"E",IF(D24&lt;=16,"F",IF(D24&lt;=18,"G")))))))</f>
        <v/>
      </c>
      <c r="N24" s="4" t="n"/>
      <c r="O24" s="4">
        <f>IF(H24&lt;=2,"A",IF(H24&lt;=5,"B",IF(H24&lt;=7,"C",IF(H24&lt;=10,"D",IF(H24&lt;=13,"E",IF(H24&lt;=16,"F",IF(H24&lt;=18,"G")))))))</f>
        <v/>
      </c>
      <c r="P24" s="276" t="n"/>
      <c r="Q24" s="326" t="n"/>
      <c r="R24" s="327">
        <f>E24</f>
        <v/>
      </c>
      <c r="S24" s="327" t="n"/>
      <c r="T24" s="327">
        <f>I24</f>
        <v/>
      </c>
      <c r="U24" s="336" t="n"/>
      <c r="V24" s="245" t="inlineStr">
        <is>
          <t>14~20</t>
        </is>
      </c>
      <c r="W24" s="275">
        <f>SUM(B24,D24,F24,H24,J24)</f>
        <v/>
      </c>
      <c r="X24" s="4" t="inlineStr">
        <is>
          <t>+</t>
        </is>
      </c>
      <c r="Y24" s="276" t="n"/>
    </row>
    <row r="25" ht="24" customHeight="1">
      <c r="A25" s="245" t="n">
        <v>23</v>
      </c>
      <c r="B25" s="500" t="n"/>
      <c r="C25" s="262" t="n"/>
      <c r="D25" s="500" t="n">
        <v>2</v>
      </c>
      <c r="E25" s="283">
        <f>VLOOKUP(D25,オッズデータ入力!O$7:P$25,2,FALSE)</f>
        <v/>
      </c>
      <c r="F25" s="500" t="n"/>
      <c r="G25" s="283" t="n"/>
      <c r="H25" s="500" t="n">
        <v>1</v>
      </c>
      <c r="I25" s="283">
        <f>VLOOKUP(H25,オッズデータ入力!AM$7:AN$25,2,FALSE)</f>
        <v/>
      </c>
      <c r="J25" s="501" t="n"/>
      <c r="K25" s="286" t="n"/>
      <c r="L25" s="275" t="n"/>
      <c r="M25" s="4">
        <f>IF(D25&lt;=2,"A",IF(D25&lt;=5,"B",IF(D25&lt;=7,"C",IF(D25&lt;=10,"D",IF(D25&lt;=13,"E",IF(D25&lt;=16,"F",IF(D25&lt;=18,"G")))))))</f>
        <v/>
      </c>
      <c r="N25" s="4" t="n"/>
      <c r="O25" s="4">
        <f>IF(H25&lt;=2,"A",IF(H25&lt;=5,"B",IF(H25&lt;=7,"C",IF(H25&lt;=10,"D",IF(H25&lt;=13,"E",IF(H25&lt;=16,"F",IF(H25&lt;=18,"G")))))))</f>
        <v/>
      </c>
      <c r="P25" s="276" t="n"/>
      <c r="Q25" s="326" t="n"/>
      <c r="R25" s="327">
        <f>E25</f>
        <v/>
      </c>
      <c r="S25" s="327" t="n"/>
      <c r="T25" s="327">
        <f>I25</f>
        <v/>
      </c>
      <c r="U25" s="336" t="n"/>
      <c r="V25" s="245" t="inlineStr">
        <is>
          <t>14~20</t>
        </is>
      </c>
      <c r="W25" s="275">
        <f>SUM(B25,D25,F25,H25,J25)</f>
        <v/>
      </c>
      <c r="X25" s="4" t="inlineStr">
        <is>
          <t>+</t>
        </is>
      </c>
      <c r="Y25" s="276" t="n"/>
    </row>
    <row r="26" ht="24.75" customHeight="1" thickBot="1">
      <c r="A26" s="247" t="n">
        <v>24</v>
      </c>
      <c r="B26" s="502" t="n"/>
      <c r="C26" s="263" t="n"/>
      <c r="D26" s="502" t="n">
        <v>2</v>
      </c>
      <c r="E26" s="284">
        <f>VLOOKUP(D26,オッズデータ入力!O$7:P$25,2,FALSE)</f>
        <v/>
      </c>
      <c r="F26" s="502" t="n"/>
      <c r="G26" s="284" t="n"/>
      <c r="H26" s="502" t="n">
        <v>2</v>
      </c>
      <c r="I26" s="284">
        <f>VLOOKUP(H26,オッズデータ入力!AM$7:AN$25,2,FALSE)</f>
        <v/>
      </c>
      <c r="J26" s="503" t="n"/>
      <c r="K26" s="287" t="n"/>
      <c r="L26" s="277" t="n"/>
      <c r="M26" s="260">
        <f>IF(D26&lt;=2,"A",IF(D26&lt;=5,"B",IF(D26&lt;=7,"C",IF(D26&lt;=10,"D",IF(D26&lt;=13,"E",IF(D26&lt;=16,"F",IF(D26&lt;=18,"G")))))))</f>
        <v/>
      </c>
      <c r="N26" s="260" t="n"/>
      <c r="O26" s="260">
        <f>IF(H26&lt;=2,"A",IF(H26&lt;=5,"B",IF(H26&lt;=7,"C",IF(H26&lt;=10,"D",IF(H26&lt;=13,"E",IF(H26&lt;=16,"F",IF(H26&lt;=18,"G")))))))</f>
        <v/>
      </c>
      <c r="P26" s="278" t="n"/>
      <c r="Q26" s="330" t="n"/>
      <c r="R26" s="331">
        <f>E26</f>
        <v/>
      </c>
      <c r="S26" s="331" t="n"/>
      <c r="T26" s="331">
        <f>I26</f>
        <v/>
      </c>
      <c r="U26" s="337" t="n"/>
      <c r="V26" s="249" t="inlineStr">
        <is>
          <t>14~20</t>
        </is>
      </c>
      <c r="W26" s="277">
        <f>SUM(B26,D26,F26,H26,J26)</f>
        <v/>
      </c>
      <c r="X26" s="260" t="inlineStr">
        <is>
          <t>+</t>
        </is>
      </c>
      <c r="Y26" s="278" t="n"/>
    </row>
    <row r="27" ht="24" customHeight="1">
      <c r="A27" s="241" t="n">
        <v>25</v>
      </c>
      <c r="B27" s="498" t="n"/>
      <c r="C27" s="261" t="n"/>
      <c r="D27" s="498" t="n">
        <v>1</v>
      </c>
      <c r="E27" s="282">
        <f>VLOOKUP(D27,オッズデータ入力!O$7:P$25,2,FALSE)</f>
        <v/>
      </c>
      <c r="F27" s="498" t="n"/>
      <c r="G27" s="282" t="n"/>
      <c r="H27" s="498" t="n"/>
      <c r="I27" s="282" t="n"/>
      <c r="J27" s="499" t="n">
        <v>1</v>
      </c>
      <c r="K27" s="282">
        <f>VLOOKUP(J27,オッズデータ入力!AY$7:AZ$25,2,FALSE)</f>
        <v/>
      </c>
      <c r="L27" s="273" t="n"/>
      <c r="M27" s="259">
        <f>IF(D27&lt;=2,"A",IF(D27&lt;=5,"B",IF(D27&lt;=7,"C",IF(D27&lt;=10,"D",IF(D27&lt;=13,"E",IF(D27&lt;=16,"F",IF(D27&lt;=18,"G")))))))</f>
        <v/>
      </c>
      <c r="N27" s="259" t="n"/>
      <c r="O27" s="259" t="n"/>
      <c r="P27" s="264">
        <f>IF(J27&lt;=2,"A",IF(J27&lt;=5,"B",IF(J27&lt;=7,"C",IF(J27&lt;=10,"D",IF(J27&lt;=13,"E",IF(J27&lt;=16,"F",IF(J27&lt;=18,"G")))))))</f>
        <v/>
      </c>
      <c r="Q27" s="323" t="n"/>
      <c r="R27" s="324">
        <f>E27</f>
        <v/>
      </c>
      <c r="S27" s="324" t="n"/>
      <c r="T27" s="324" t="n"/>
      <c r="U27" s="335">
        <f>K27</f>
        <v/>
      </c>
      <c r="V27" s="241" t="inlineStr">
        <is>
          <t>14~20</t>
        </is>
      </c>
      <c r="W27" s="348">
        <f>SUM(B27,D27,F27,H27,J27)</f>
        <v/>
      </c>
      <c r="X27" s="349" t="inlineStr">
        <is>
          <t>+</t>
        </is>
      </c>
      <c r="Y27" s="350" t="n"/>
    </row>
    <row r="28" ht="24" customHeight="1">
      <c r="A28" s="245" t="n">
        <v>26</v>
      </c>
      <c r="B28" s="500" t="n"/>
      <c r="C28" s="262" t="n"/>
      <c r="D28" s="500" t="n">
        <v>1</v>
      </c>
      <c r="E28" s="283">
        <f>VLOOKUP(D28,オッズデータ入力!O$7:P$25,2,FALSE)</f>
        <v/>
      </c>
      <c r="F28" s="500" t="n"/>
      <c r="G28" s="283" t="n"/>
      <c r="H28" s="500" t="n"/>
      <c r="I28" s="283" t="n"/>
      <c r="J28" s="501" t="n">
        <v>2</v>
      </c>
      <c r="K28" s="286">
        <f>VLOOKUP(J28,オッズデータ入力!AY$7:AZ$25,2,FALSE)</f>
        <v/>
      </c>
      <c r="L28" s="275" t="n"/>
      <c r="M28" s="4">
        <f>IF(D28&lt;=2,"A",IF(D28&lt;=5,"B",IF(D28&lt;=7,"C",IF(D28&lt;=10,"D",IF(D28&lt;=13,"E",IF(D28&lt;=16,"F",IF(D28&lt;=18,"G")))))))</f>
        <v/>
      </c>
      <c r="N28" s="4" t="n"/>
      <c r="O28" s="4" t="n"/>
      <c r="P28" s="3">
        <f>IF(J28&lt;=2,"A",IF(J28&lt;=5,"B",IF(J28&lt;=7,"C",IF(J28&lt;=10,"D",IF(J28&lt;=13,"E",IF(J28&lt;=16,"F",IF(J28&lt;=18,"G")))))))</f>
        <v/>
      </c>
      <c r="Q28" s="326" t="n"/>
      <c r="R28" s="327">
        <f>E28</f>
        <v/>
      </c>
      <c r="S28" s="327" t="n"/>
      <c r="T28" s="327" t="n"/>
      <c r="U28" s="336">
        <f>K28</f>
        <v/>
      </c>
      <c r="V28" s="245" t="inlineStr">
        <is>
          <t>14~20</t>
        </is>
      </c>
      <c r="W28" s="275">
        <f>SUM(B28,D28,F28,H28,J28)</f>
        <v/>
      </c>
      <c r="X28" s="4" t="inlineStr">
        <is>
          <t>+</t>
        </is>
      </c>
      <c r="Y28" s="276" t="n"/>
    </row>
    <row r="29" ht="24" customHeight="1">
      <c r="A29" s="245" t="n">
        <v>27</v>
      </c>
      <c r="B29" s="500" t="n"/>
      <c r="C29" s="262" t="n"/>
      <c r="D29" s="500" t="n">
        <v>2</v>
      </c>
      <c r="E29" s="283">
        <f>VLOOKUP(D29,オッズデータ入力!O$7:P$25,2,FALSE)</f>
        <v/>
      </c>
      <c r="F29" s="500" t="n"/>
      <c r="G29" s="283" t="n"/>
      <c r="H29" s="500" t="n"/>
      <c r="I29" s="283" t="n"/>
      <c r="J29" s="501" t="n">
        <v>1</v>
      </c>
      <c r="K29" s="286">
        <f>VLOOKUP(J29,オッズデータ入力!AY$7:AZ$25,2,FALSE)</f>
        <v/>
      </c>
      <c r="L29" s="275" t="n"/>
      <c r="M29" s="4">
        <f>IF(D29&lt;=2,"A",IF(D29&lt;=5,"B",IF(D29&lt;=7,"C",IF(D29&lt;=10,"D",IF(D29&lt;=13,"E",IF(D29&lt;=16,"F",IF(D29&lt;=18,"G")))))))</f>
        <v/>
      </c>
      <c r="N29" s="4" t="n"/>
      <c r="O29" s="4" t="n"/>
      <c r="P29" s="3">
        <f>IF(J29&lt;=2,"A",IF(J29&lt;=5,"B",IF(J29&lt;=7,"C",IF(J29&lt;=10,"D",IF(J29&lt;=13,"E",IF(J29&lt;=16,"F",IF(J29&lt;=18,"G")))))))</f>
        <v/>
      </c>
      <c r="Q29" s="326" t="n"/>
      <c r="R29" s="327">
        <f>E29</f>
        <v/>
      </c>
      <c r="S29" s="327" t="n"/>
      <c r="T29" s="327" t="n"/>
      <c r="U29" s="336">
        <f>K29</f>
        <v/>
      </c>
      <c r="V29" s="245" t="inlineStr">
        <is>
          <t>14~20</t>
        </is>
      </c>
      <c r="W29" s="275">
        <f>SUM(B29,D29,F29,H29,J29)</f>
        <v/>
      </c>
      <c r="X29" s="4" t="inlineStr">
        <is>
          <t>+</t>
        </is>
      </c>
      <c r="Y29" s="276" t="n"/>
    </row>
    <row r="30" ht="24.75" customHeight="1" thickBot="1">
      <c r="A30" s="249" t="n">
        <v>28</v>
      </c>
      <c r="B30" s="502" t="n"/>
      <c r="C30" s="263" t="n"/>
      <c r="D30" s="502" t="n">
        <v>2</v>
      </c>
      <c r="E30" s="284">
        <f>VLOOKUP(D30,オッズデータ入力!O$7:P$25,2,FALSE)</f>
        <v/>
      </c>
      <c r="F30" s="502" t="n"/>
      <c r="G30" s="284" t="n"/>
      <c r="H30" s="502" t="n"/>
      <c r="I30" s="284" t="n"/>
      <c r="J30" s="503" t="n">
        <v>2</v>
      </c>
      <c r="K30" s="287">
        <f>VLOOKUP(J30,オッズデータ入力!AY$7:AZ$25,2,FALSE)</f>
        <v/>
      </c>
      <c r="L30" s="277" t="n"/>
      <c r="M30" s="260">
        <f>IF(D30&lt;=2,"A",IF(D30&lt;=5,"B",IF(D30&lt;=7,"C",IF(D30&lt;=10,"D",IF(D30&lt;=13,"E",IF(D30&lt;=16,"F",IF(D30&lt;=18,"G")))))))</f>
        <v/>
      </c>
      <c r="N30" s="260" t="n"/>
      <c r="O30" s="260" t="n"/>
      <c r="P30" s="265">
        <f>IF(J30&lt;=2,"A",IF(J30&lt;=5,"B",IF(J30&lt;=7,"C",IF(J30&lt;=10,"D",IF(J30&lt;=13,"E",IF(J30&lt;=16,"F",IF(J30&lt;=18,"G")))))))</f>
        <v/>
      </c>
      <c r="Q30" s="341" t="n"/>
      <c r="R30" s="342">
        <f>E30</f>
        <v/>
      </c>
      <c r="S30" s="342" t="n"/>
      <c r="T30" s="342" t="n"/>
      <c r="U30" s="343">
        <f>K30</f>
        <v/>
      </c>
      <c r="V30" s="249" t="inlineStr">
        <is>
          <t>14~20</t>
        </is>
      </c>
      <c r="W30" s="345">
        <f>SUM(B30,D30,F30,H30,J30)</f>
        <v/>
      </c>
      <c r="X30" s="346" t="inlineStr">
        <is>
          <t>+</t>
        </is>
      </c>
      <c r="Y30" s="347" t="n"/>
    </row>
    <row r="31" ht="24" customHeight="1">
      <c r="A31" s="243" t="n">
        <v>29</v>
      </c>
      <c r="B31" s="254" t="n"/>
      <c r="C31" s="261" t="n"/>
      <c r="D31" s="254" t="n"/>
      <c r="E31" s="285" t="n"/>
      <c r="F31" s="498" t="n">
        <v>1</v>
      </c>
      <c r="G31" s="282">
        <f>VLOOKUP(F31,オッズデータ入力!AA$7:AB$25,2,FALSE)</f>
        <v/>
      </c>
      <c r="H31" s="498" t="n">
        <v>1</v>
      </c>
      <c r="I31" s="282">
        <f>VLOOKUP(H31,オッズデータ入力!AM$7:AN$25,2,FALSE)</f>
        <v/>
      </c>
      <c r="J31" s="269" t="n"/>
      <c r="K31" s="285" t="n"/>
      <c r="L31" s="273" t="n"/>
      <c r="M31" s="259" t="n"/>
      <c r="N31" s="259">
        <f>IF(H31&lt;=2,"A",IF(H31&lt;=5,"B",IF(H31&lt;=7,"C",IF(H31&lt;=10,"D",IF(H31&lt;=13,"E",IF(H31&lt;=16,"F",IF(H31&lt;=18,"G")))))))</f>
        <v/>
      </c>
      <c r="O31" s="259">
        <f>IF(H31&lt;=2,"A",IF(H31&lt;=5,"B",IF(H31&lt;=7,"C",IF(H31&lt;=10,"D",IF(H31&lt;=13,"E",IF(H31&lt;=16,"F",IF(H31&lt;=18,"G")))))))</f>
        <v/>
      </c>
      <c r="P31" s="274" t="n"/>
      <c r="Q31" s="323" t="n"/>
      <c r="R31" s="324" t="n"/>
      <c r="S31" s="324">
        <f>G31</f>
        <v/>
      </c>
      <c r="T31" s="324">
        <f>I31</f>
        <v/>
      </c>
      <c r="U31" s="335" t="n"/>
      <c r="V31" s="241" t="inlineStr">
        <is>
          <t>14~20</t>
        </is>
      </c>
      <c r="W31" s="273">
        <f>SUM(B31,D31,F31,H31,J31)</f>
        <v/>
      </c>
      <c r="X31" s="259" t="inlineStr">
        <is>
          <t>+</t>
        </is>
      </c>
      <c r="Y31" s="274" t="n"/>
    </row>
    <row r="32" ht="24" customHeight="1">
      <c r="A32" s="245" t="n">
        <v>30</v>
      </c>
      <c r="B32" s="256" t="n"/>
      <c r="C32" s="262" t="n"/>
      <c r="D32" s="256" t="n"/>
      <c r="E32" s="286" t="n"/>
      <c r="F32" s="500" t="n">
        <v>1</v>
      </c>
      <c r="G32" s="283">
        <f>VLOOKUP(F32,オッズデータ入力!AA$7:AB$25,2,FALSE)</f>
        <v/>
      </c>
      <c r="H32" s="500" t="n">
        <v>2</v>
      </c>
      <c r="I32" s="283">
        <f>VLOOKUP(H32,オッズデータ入力!AM$7:AN$25,2,FALSE)</f>
        <v/>
      </c>
      <c r="J32" s="270" t="n"/>
      <c r="K32" s="286" t="n"/>
      <c r="L32" s="275" t="n"/>
      <c r="M32" s="4" t="n"/>
      <c r="N32" s="4">
        <f>IF(H32&lt;=2,"A",IF(H32&lt;=5,"B",IF(H32&lt;=7,"C",IF(H32&lt;=10,"D",IF(H32&lt;=13,"E",IF(H32&lt;=16,"F",IF(H32&lt;=18,"G")))))))</f>
        <v/>
      </c>
      <c r="O32" s="4">
        <f>IF(H32&lt;=2,"A",IF(H32&lt;=5,"B",IF(H32&lt;=7,"C",IF(H32&lt;=10,"D",IF(H32&lt;=13,"E",IF(H32&lt;=16,"F",IF(H32&lt;=18,"G")))))))</f>
        <v/>
      </c>
      <c r="P32" s="276" t="n"/>
      <c r="Q32" s="326" t="n"/>
      <c r="R32" s="327" t="n"/>
      <c r="S32" s="327">
        <f>G32</f>
        <v/>
      </c>
      <c r="T32" s="327">
        <f>I32</f>
        <v/>
      </c>
      <c r="U32" s="336" t="n"/>
      <c r="V32" s="245" t="inlineStr">
        <is>
          <t>14~20</t>
        </is>
      </c>
      <c r="W32" s="275">
        <f>SUM(B32,D32,F32,H32,J32)</f>
        <v/>
      </c>
      <c r="X32" s="4" t="inlineStr">
        <is>
          <t>+</t>
        </is>
      </c>
      <c r="Y32" s="276" t="n"/>
    </row>
    <row r="33" ht="24" customHeight="1">
      <c r="A33" s="245" t="n">
        <v>31</v>
      </c>
      <c r="B33" s="256" t="n"/>
      <c r="C33" s="262" t="n"/>
      <c r="D33" s="256" t="n"/>
      <c r="E33" s="286" t="n"/>
      <c r="F33" s="500" t="n">
        <v>2</v>
      </c>
      <c r="G33" s="283">
        <f>VLOOKUP(F33,オッズデータ入力!AA$7:AB$25,2,FALSE)</f>
        <v/>
      </c>
      <c r="H33" s="500" t="n">
        <v>1</v>
      </c>
      <c r="I33" s="283">
        <f>VLOOKUP(H33,オッズデータ入力!AM$7:AN$25,2,FALSE)</f>
        <v/>
      </c>
      <c r="J33" s="270" t="n"/>
      <c r="K33" s="286" t="n"/>
      <c r="L33" s="275" t="n"/>
      <c r="M33" s="4" t="n"/>
      <c r="N33" s="4">
        <f>IF(H33&lt;=2,"A",IF(H33&lt;=5,"B",IF(H33&lt;=7,"C",IF(H33&lt;=10,"D",IF(H33&lt;=13,"E",IF(H33&lt;=16,"F",IF(H33&lt;=18,"G")))))))</f>
        <v/>
      </c>
      <c r="O33" s="4">
        <f>IF(H33&lt;=2,"A",IF(H33&lt;=5,"B",IF(H33&lt;=7,"C",IF(H33&lt;=10,"D",IF(H33&lt;=13,"E",IF(H33&lt;=16,"F",IF(H33&lt;=18,"G")))))))</f>
        <v/>
      </c>
      <c r="P33" s="276" t="n"/>
      <c r="Q33" s="326" t="n"/>
      <c r="R33" s="327" t="n"/>
      <c r="S33" s="327">
        <f>G33</f>
        <v/>
      </c>
      <c r="T33" s="327">
        <f>I33</f>
        <v/>
      </c>
      <c r="U33" s="336" t="n"/>
      <c r="V33" s="245" t="inlineStr">
        <is>
          <t>14~20</t>
        </is>
      </c>
      <c r="W33" s="275">
        <f>SUM(B33,D33,F33,H33,J33)</f>
        <v/>
      </c>
      <c r="X33" s="4" t="inlineStr">
        <is>
          <t>+</t>
        </is>
      </c>
      <c r="Y33" s="276" t="n"/>
    </row>
    <row r="34" ht="24.75" customHeight="1" thickBot="1">
      <c r="A34" s="247" t="n">
        <v>32</v>
      </c>
      <c r="B34" s="257" t="n"/>
      <c r="C34" s="263" t="n"/>
      <c r="D34" s="257" t="n"/>
      <c r="E34" s="287" t="n"/>
      <c r="F34" s="502" t="n">
        <v>2</v>
      </c>
      <c r="G34" s="284">
        <f>VLOOKUP(F34,オッズデータ入力!AA$7:AB$25,2,FALSE)</f>
        <v/>
      </c>
      <c r="H34" s="502" t="n">
        <v>2</v>
      </c>
      <c r="I34" s="284">
        <f>VLOOKUP(H34,オッズデータ入力!AM$7:AN$25,2,FALSE)</f>
        <v/>
      </c>
      <c r="J34" s="271" t="n"/>
      <c r="K34" s="287" t="n"/>
      <c r="L34" s="277" t="n"/>
      <c r="M34" s="260" t="n"/>
      <c r="N34" s="260">
        <f>IF(H34&lt;=2,"A",IF(H34&lt;=5,"B",IF(H34&lt;=7,"C",IF(H34&lt;=10,"D",IF(H34&lt;=13,"E",IF(H34&lt;=16,"F",IF(H34&lt;=18,"G")))))))</f>
        <v/>
      </c>
      <c r="O34" s="260">
        <f>IF(H34&lt;=2,"A",IF(H34&lt;=5,"B",IF(H34&lt;=7,"C",IF(H34&lt;=10,"D",IF(H34&lt;=13,"E",IF(H34&lt;=16,"F",IF(H34&lt;=18,"G")))))))</f>
        <v/>
      </c>
      <c r="P34" s="278" t="n"/>
      <c r="Q34" s="330" t="n"/>
      <c r="R34" s="331" t="n"/>
      <c r="S34" s="331">
        <f>G34</f>
        <v/>
      </c>
      <c r="T34" s="331">
        <f>I34</f>
        <v/>
      </c>
      <c r="U34" s="337" t="n"/>
      <c r="V34" s="249" t="inlineStr">
        <is>
          <t>14~20</t>
        </is>
      </c>
      <c r="W34" s="277">
        <f>SUM(B34,D34,F34,H34,J34)</f>
        <v/>
      </c>
      <c r="X34" s="260" t="inlineStr">
        <is>
          <t>+</t>
        </is>
      </c>
      <c r="Y34" s="278" t="n"/>
    </row>
    <row r="35" ht="24" customHeight="1">
      <c r="A35" s="241" t="n">
        <v>33</v>
      </c>
      <c r="B35" s="254" t="n"/>
      <c r="C35" s="261" t="n"/>
      <c r="D35" s="254" t="n"/>
      <c r="E35" s="285" t="n"/>
      <c r="F35" s="498" t="n">
        <v>1</v>
      </c>
      <c r="G35" s="282">
        <f>VLOOKUP(F35,オッズデータ入力!AA$7:AB$25,2,FALSE)</f>
        <v/>
      </c>
      <c r="H35" s="254" t="n"/>
      <c r="I35" s="282" t="n"/>
      <c r="J35" s="499" t="n">
        <v>1</v>
      </c>
      <c r="K35" s="282">
        <f>VLOOKUP(J35,オッズデータ入力!AY$7:AZ$25,2,FALSE)</f>
        <v/>
      </c>
      <c r="L35" s="273" t="n"/>
      <c r="M35" s="259" t="n"/>
      <c r="N35" s="259">
        <f>IF(H35&lt;=2,"A",IF(H35&lt;=5,"B",IF(H35&lt;=7,"C",IF(H35&lt;=10,"D",IF(H35&lt;=13,"E",IF(H35&lt;=16,"F",IF(H35&lt;=18,"G")))))))</f>
        <v/>
      </c>
      <c r="O35" s="259" t="n"/>
      <c r="P35" s="264">
        <f>IF(J35&lt;=2,"A",IF(J35&lt;=5,"B",IF(J35&lt;=7,"C",IF(J35&lt;=10,"D",IF(J35&lt;=13,"E",IF(J35&lt;=16,"F",IF(J35&lt;=18,"G")))))))</f>
        <v/>
      </c>
      <c r="Q35" s="323" t="n"/>
      <c r="R35" s="324" t="n"/>
      <c r="S35" s="324">
        <f>G35</f>
        <v/>
      </c>
      <c r="T35" s="324" t="n"/>
      <c r="U35" s="335">
        <f>K35</f>
        <v/>
      </c>
      <c r="V35" s="241" t="inlineStr">
        <is>
          <t>14~20</t>
        </is>
      </c>
      <c r="W35" s="348">
        <f>SUM(B35,D35,F35,H35,J35)</f>
        <v/>
      </c>
      <c r="X35" s="349" t="inlineStr">
        <is>
          <t>+</t>
        </is>
      </c>
      <c r="Y35" s="350" t="n"/>
    </row>
    <row r="36" ht="24" customHeight="1">
      <c r="A36" s="245" t="n">
        <v>34</v>
      </c>
      <c r="B36" s="256" t="n"/>
      <c r="C36" s="262" t="n"/>
      <c r="D36" s="256" t="n"/>
      <c r="E36" s="286" t="n"/>
      <c r="F36" s="500" t="n">
        <v>1</v>
      </c>
      <c r="G36" s="283">
        <f>VLOOKUP(F36,オッズデータ入力!AA$7:AB$25,2,FALSE)</f>
        <v/>
      </c>
      <c r="H36" s="256" t="n"/>
      <c r="I36" s="283" t="n"/>
      <c r="J36" s="501" t="n">
        <v>2</v>
      </c>
      <c r="K36" s="286">
        <f>VLOOKUP(J36,オッズデータ入力!AY$7:AZ$25,2,FALSE)</f>
        <v/>
      </c>
      <c r="L36" s="275" t="n"/>
      <c r="M36" s="4" t="n"/>
      <c r="N36" s="4">
        <f>IF(H36&lt;=2,"A",IF(H36&lt;=5,"B",IF(H36&lt;=7,"C",IF(H36&lt;=10,"D",IF(H36&lt;=13,"E",IF(H36&lt;=16,"F",IF(H36&lt;=18,"G")))))))</f>
        <v/>
      </c>
      <c r="O36" s="4" t="n"/>
      <c r="P36" s="3">
        <f>IF(J36&lt;=2,"A",IF(J36&lt;=5,"B",IF(J36&lt;=7,"C",IF(J36&lt;=10,"D",IF(J36&lt;=13,"E",IF(J36&lt;=16,"F",IF(J36&lt;=18,"G")))))))</f>
        <v/>
      </c>
      <c r="Q36" s="326" t="n"/>
      <c r="R36" s="327" t="n"/>
      <c r="S36" s="327">
        <f>G36</f>
        <v/>
      </c>
      <c r="T36" s="327" t="n"/>
      <c r="U36" s="336">
        <f>K36</f>
        <v/>
      </c>
      <c r="V36" s="245" t="inlineStr">
        <is>
          <t>14~20</t>
        </is>
      </c>
      <c r="W36" s="275">
        <f>SUM(B36,D36,F36,H36,J36)</f>
        <v/>
      </c>
      <c r="X36" s="4" t="inlineStr">
        <is>
          <t>+</t>
        </is>
      </c>
      <c r="Y36" s="276" t="n"/>
    </row>
    <row r="37" ht="24" customHeight="1">
      <c r="A37" s="245" t="n">
        <v>35</v>
      </c>
      <c r="B37" s="256" t="n"/>
      <c r="C37" s="262" t="n"/>
      <c r="D37" s="256" t="n"/>
      <c r="E37" s="286" t="n"/>
      <c r="F37" s="500" t="n">
        <v>2</v>
      </c>
      <c r="G37" s="283">
        <f>VLOOKUP(F37,オッズデータ入力!AA$7:AB$25,2,FALSE)</f>
        <v/>
      </c>
      <c r="H37" s="256" t="n"/>
      <c r="I37" s="283" t="n"/>
      <c r="J37" s="501" t="n">
        <v>1</v>
      </c>
      <c r="K37" s="286">
        <f>VLOOKUP(J37,オッズデータ入力!AY$7:AZ$25,2,FALSE)</f>
        <v/>
      </c>
      <c r="L37" s="275" t="n"/>
      <c r="M37" s="4" t="n"/>
      <c r="N37" s="4">
        <f>IF(H37&lt;=2,"A",IF(H37&lt;=5,"B",IF(H37&lt;=7,"C",IF(H37&lt;=10,"D",IF(H37&lt;=13,"E",IF(H37&lt;=16,"F",IF(H37&lt;=18,"G")))))))</f>
        <v/>
      </c>
      <c r="O37" s="4" t="n"/>
      <c r="P37" s="3">
        <f>IF(J37&lt;=2,"A",IF(J37&lt;=5,"B",IF(J37&lt;=7,"C",IF(J37&lt;=10,"D",IF(J37&lt;=13,"E",IF(J37&lt;=16,"F",IF(J37&lt;=18,"G")))))))</f>
        <v/>
      </c>
      <c r="Q37" s="326" t="n"/>
      <c r="R37" s="327" t="n"/>
      <c r="S37" s="327">
        <f>G37</f>
        <v/>
      </c>
      <c r="T37" s="327" t="n"/>
      <c r="U37" s="336">
        <f>K37</f>
        <v/>
      </c>
      <c r="V37" s="245" t="inlineStr">
        <is>
          <t>14~20</t>
        </is>
      </c>
      <c r="W37" s="275">
        <f>SUM(B37,D37,F37,H37,J37)</f>
        <v/>
      </c>
      <c r="X37" s="4" t="inlineStr">
        <is>
          <t>+</t>
        </is>
      </c>
      <c r="Y37" s="276" t="n"/>
    </row>
    <row r="38" ht="24.75" customHeight="1" thickBot="1">
      <c r="A38" s="249" t="n">
        <v>36</v>
      </c>
      <c r="B38" s="257" t="n"/>
      <c r="C38" s="263" t="n"/>
      <c r="D38" s="257" t="n"/>
      <c r="E38" s="287" t="n"/>
      <c r="F38" s="502" t="n">
        <v>2</v>
      </c>
      <c r="G38" s="284">
        <f>VLOOKUP(F38,オッズデータ入力!AA$7:AB$25,2,FALSE)</f>
        <v/>
      </c>
      <c r="H38" s="257" t="n"/>
      <c r="I38" s="284" t="n"/>
      <c r="J38" s="503" t="n">
        <v>2</v>
      </c>
      <c r="K38" s="287">
        <f>VLOOKUP(J38,オッズデータ入力!AY$7:AZ$25,2,FALSE)</f>
        <v/>
      </c>
      <c r="L38" s="277" t="n"/>
      <c r="M38" s="260" t="n"/>
      <c r="N38" s="260">
        <f>IF(H38&lt;=2,"A",IF(H38&lt;=5,"B",IF(H38&lt;=7,"C",IF(H38&lt;=10,"D",IF(H38&lt;=13,"E",IF(H38&lt;=16,"F",IF(H38&lt;=18,"G")))))))</f>
        <v/>
      </c>
      <c r="O38" s="260" t="n"/>
      <c r="P38" s="265">
        <f>IF(J38&lt;=2,"A",IF(J38&lt;=5,"B",IF(J38&lt;=7,"C",IF(J38&lt;=10,"D",IF(J38&lt;=13,"E",IF(J38&lt;=16,"F",IF(J38&lt;=18,"G")))))))</f>
        <v/>
      </c>
      <c r="Q38" s="330" t="n"/>
      <c r="R38" s="331" t="n"/>
      <c r="S38" s="331">
        <f>G38</f>
        <v/>
      </c>
      <c r="T38" s="331" t="n"/>
      <c r="U38" s="337">
        <f>K38</f>
        <v/>
      </c>
      <c r="V38" s="249" t="inlineStr">
        <is>
          <t>14~20</t>
        </is>
      </c>
      <c r="W38" s="345">
        <f>SUM(B38,D38,F38,H38,J38)</f>
        <v/>
      </c>
      <c r="X38" s="346" t="inlineStr">
        <is>
          <t>+</t>
        </is>
      </c>
      <c r="Y38" s="347" t="n"/>
    </row>
    <row r="39" ht="24" customHeight="1">
      <c r="A39" s="243" t="n">
        <v>37</v>
      </c>
      <c r="B39" s="254" t="n"/>
      <c r="C39" s="261" t="n"/>
      <c r="D39" s="254" t="n"/>
      <c r="E39" s="285" t="n"/>
      <c r="F39" s="254" t="n"/>
      <c r="G39" s="282" t="n"/>
      <c r="H39" s="498" t="n">
        <v>1</v>
      </c>
      <c r="I39" s="282">
        <f>VLOOKUP(H39,オッズデータ入力!AM$7:AN$25,2,FALSE)</f>
        <v/>
      </c>
      <c r="J39" s="499" t="n">
        <v>1</v>
      </c>
      <c r="K39" s="282">
        <f>VLOOKUP(J39,オッズデータ入力!AY$7:AZ$25,2,FALSE)</f>
        <v/>
      </c>
      <c r="L39" s="273" t="n"/>
      <c r="M39" s="259" t="n"/>
      <c r="N39" s="259" t="n"/>
      <c r="O39" s="259">
        <f>IF(H39&lt;=2,"A",IF(H39&lt;=5,"B",IF(H39&lt;=7,"C",IF(H39&lt;=10,"D",IF(H39&lt;=13,"E",IF(H39&lt;=16,"F",IF(H39&lt;=18,"G")))))))</f>
        <v/>
      </c>
      <c r="P39" s="264">
        <f>IF(J39&lt;=2,"A",IF(J39&lt;=5,"B",IF(J39&lt;=7,"C",IF(J39&lt;=10,"D",IF(J39&lt;=13,"E",IF(J39&lt;=16,"F",IF(J39&lt;=18,"G")))))))</f>
        <v/>
      </c>
      <c r="Q39" s="338" t="n"/>
      <c r="R39" s="339" t="n"/>
      <c r="S39" s="339" t="n"/>
      <c r="T39" s="339">
        <f>I39</f>
        <v/>
      </c>
      <c r="U39" s="340">
        <f>K39</f>
        <v/>
      </c>
      <c r="V39" s="241" t="inlineStr">
        <is>
          <t>14~20</t>
        </is>
      </c>
      <c r="W39" s="273">
        <f>SUM(B39,D39,F39,H39,J39)</f>
        <v/>
      </c>
      <c r="X39" s="259" t="inlineStr">
        <is>
          <t>+</t>
        </is>
      </c>
      <c r="Y39" s="274" t="n"/>
    </row>
    <row r="40" ht="24" customHeight="1">
      <c r="A40" s="245" t="n">
        <v>38</v>
      </c>
      <c r="B40" s="256" t="n"/>
      <c r="C40" s="262" t="n"/>
      <c r="D40" s="256" t="n"/>
      <c r="E40" s="286" t="n"/>
      <c r="F40" s="256" t="n"/>
      <c r="G40" s="283" t="n"/>
      <c r="H40" s="500" t="n">
        <v>1</v>
      </c>
      <c r="I40" s="283">
        <f>VLOOKUP(H40,オッズデータ入力!AM$7:AN$25,2,FALSE)</f>
        <v/>
      </c>
      <c r="J40" s="501" t="n">
        <v>2</v>
      </c>
      <c r="K40" s="286">
        <f>VLOOKUP(J40,オッズデータ入力!AY$7:AZ$25,2,FALSE)</f>
        <v/>
      </c>
      <c r="L40" s="275" t="n"/>
      <c r="M40" s="4" t="n"/>
      <c r="N40" s="4" t="n"/>
      <c r="O40" s="4">
        <f>IF(H40&lt;=2,"A",IF(H40&lt;=5,"B",IF(H40&lt;=7,"C",IF(H40&lt;=10,"D",IF(H40&lt;=13,"E",IF(H40&lt;=16,"F",IF(H40&lt;=18,"G")))))))</f>
        <v/>
      </c>
      <c r="P40" s="3">
        <f>IF(J40&lt;=2,"A",IF(J40&lt;=5,"B",IF(J40&lt;=7,"C",IF(J40&lt;=10,"D",IF(J40&lt;=13,"E",IF(J40&lt;=16,"F",IF(J40&lt;=18,"G")))))))</f>
        <v/>
      </c>
      <c r="Q40" s="326" t="n"/>
      <c r="R40" s="327" t="n"/>
      <c r="S40" s="327" t="n"/>
      <c r="T40" s="327">
        <f>I40</f>
        <v/>
      </c>
      <c r="U40" s="336">
        <f>K40</f>
        <v/>
      </c>
      <c r="V40" s="245" t="inlineStr">
        <is>
          <t>14~20</t>
        </is>
      </c>
      <c r="W40" s="275">
        <f>SUM(B40,D40,F40,H40,J40)</f>
        <v/>
      </c>
      <c r="X40" s="4" t="inlineStr">
        <is>
          <t>+</t>
        </is>
      </c>
      <c r="Y40" s="276" t="n"/>
    </row>
    <row r="41" ht="24" customHeight="1">
      <c r="A41" s="245" t="n">
        <v>39</v>
      </c>
      <c r="B41" s="256" t="n"/>
      <c r="C41" s="262" t="n"/>
      <c r="D41" s="256" t="n"/>
      <c r="E41" s="286" t="n"/>
      <c r="F41" s="256" t="n"/>
      <c r="G41" s="283" t="n"/>
      <c r="H41" s="500" t="n">
        <v>2</v>
      </c>
      <c r="I41" s="283">
        <f>VLOOKUP(H41,オッズデータ入力!AM$7:AN$25,2,FALSE)</f>
        <v/>
      </c>
      <c r="J41" s="501" t="n">
        <v>1</v>
      </c>
      <c r="K41" s="286">
        <f>VLOOKUP(J41,オッズデータ入力!AY$7:AZ$25,2,FALSE)</f>
        <v/>
      </c>
      <c r="L41" s="275" t="n"/>
      <c r="M41" s="4" t="n"/>
      <c r="N41" s="4" t="n"/>
      <c r="O41" s="4">
        <f>IF(H41&lt;=2,"A",IF(H41&lt;=5,"B",IF(H41&lt;=7,"C",IF(H41&lt;=10,"D",IF(H41&lt;=13,"E",IF(H41&lt;=16,"F",IF(H41&lt;=18,"G")))))))</f>
        <v/>
      </c>
      <c r="P41" s="3">
        <f>IF(J41&lt;=2,"A",IF(J41&lt;=5,"B",IF(J41&lt;=7,"C",IF(J41&lt;=10,"D",IF(J41&lt;=13,"E",IF(J41&lt;=16,"F",IF(J41&lt;=18,"G")))))))</f>
        <v/>
      </c>
      <c r="Q41" s="326" t="n"/>
      <c r="R41" s="327" t="n"/>
      <c r="S41" s="327" t="n"/>
      <c r="T41" s="327">
        <f>I41</f>
        <v/>
      </c>
      <c r="U41" s="336">
        <f>K41</f>
        <v/>
      </c>
      <c r="V41" s="245" t="inlineStr">
        <is>
          <t>14~20</t>
        </is>
      </c>
      <c r="W41" s="275">
        <f>SUM(B41,D41,F41,H41,J41)</f>
        <v/>
      </c>
      <c r="X41" s="4" t="inlineStr">
        <is>
          <t>+</t>
        </is>
      </c>
      <c r="Y41" s="276" t="n"/>
    </row>
    <row r="42" ht="24.75" customHeight="1" thickBot="1">
      <c r="A42" s="249" t="n">
        <v>40</v>
      </c>
      <c r="B42" s="257" t="n"/>
      <c r="C42" s="263" t="n"/>
      <c r="D42" s="257" t="n"/>
      <c r="E42" s="287" t="n"/>
      <c r="F42" s="257" t="n"/>
      <c r="G42" s="284" t="n"/>
      <c r="H42" s="502" t="n">
        <v>2</v>
      </c>
      <c r="I42" s="284">
        <f>VLOOKUP(H42,オッズデータ入力!AM$7:AN$25,2,FALSE)</f>
        <v/>
      </c>
      <c r="J42" s="503" t="n">
        <v>2</v>
      </c>
      <c r="K42" s="287">
        <f>VLOOKUP(J42,オッズデータ入力!AY$7:AZ$25,2,FALSE)</f>
        <v/>
      </c>
      <c r="L42" s="277" t="n"/>
      <c r="M42" s="260" t="n"/>
      <c r="N42" s="260" t="n"/>
      <c r="O42" s="260">
        <f>IF(H42&lt;=2,"A",IF(H42&lt;=5,"B",IF(H42&lt;=7,"C",IF(H42&lt;=10,"D",IF(H42&lt;=13,"E",IF(H42&lt;=16,"F",IF(H42&lt;=18,"G")))))))</f>
        <v/>
      </c>
      <c r="P42" s="265">
        <f>IF(J42&lt;=2,"A",IF(J42&lt;=5,"B",IF(J42&lt;=7,"C",IF(J42&lt;=10,"D",IF(J42&lt;=13,"E",IF(J42&lt;=16,"F",IF(J42&lt;=18,"G")))))))</f>
        <v/>
      </c>
      <c r="Q42" s="330" t="n"/>
      <c r="R42" s="331" t="n"/>
      <c r="S42" s="331" t="n"/>
      <c r="T42" s="331">
        <f>I42</f>
        <v/>
      </c>
      <c r="U42" s="337">
        <f>K42</f>
        <v/>
      </c>
      <c r="V42" s="249" t="inlineStr">
        <is>
          <t>14~20</t>
        </is>
      </c>
      <c r="W42" s="277">
        <f>SUM(B42,D42,F42,H42,J42)</f>
        <v/>
      </c>
      <c r="X42" s="260" t="inlineStr">
        <is>
          <t>+</t>
        </is>
      </c>
      <c r="Y42" s="278" t="n"/>
    </row>
  </sheetData>
  <mergeCells count="6">
    <mergeCell ref="F2:G2"/>
    <mergeCell ref="B2:C2"/>
    <mergeCell ref="H2:I2"/>
    <mergeCell ref="D2:E2"/>
    <mergeCell ref="J2:K2"/>
    <mergeCell ref="W2:Y2"/>
  </mergeCells>
  <pageMargins left="0.17" right="0.13" top="0.7480314960629921" bottom="0.7480314960629921" header="0.3149606299212598" footer="0.3149606299212598"/>
  <pageSetup orientation="portrait" paperSize="9" scale="59" horizontalDpi="4294967293" verticalDpi="0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2:Y82"/>
  <sheetViews>
    <sheetView tabSelected="1" workbookViewId="0">
      <selection activeCell="V9" sqref="V9"/>
    </sheetView>
  </sheetViews>
  <sheetFormatPr baseColWidth="8" defaultRowHeight="24"/>
  <cols>
    <col width="6.5" customWidth="1" min="1" max="1"/>
    <col width="8" customWidth="1" style="1" min="2" max="2"/>
    <col width="8" customWidth="1" style="115" min="3" max="3"/>
    <col width="8" customWidth="1" style="1" min="4" max="4"/>
    <col width="8" customWidth="1" style="115" min="5" max="5"/>
    <col width="8" customWidth="1" style="1" min="6" max="6"/>
    <col width="8" customWidth="1" style="115" min="7" max="7"/>
    <col width="8" customWidth="1" style="1" min="8" max="8"/>
    <col width="8" customWidth="1" style="115" min="9" max="9"/>
    <col width="8" customWidth="1" style="1" min="10" max="10"/>
    <col width="8" customWidth="1" style="115" min="11" max="11"/>
    <col width="7.125" customWidth="1" style="319" min="17" max="21"/>
    <col width="7" customWidth="1" min="23" max="23"/>
    <col width="4.375" customWidth="1" style="1" min="24" max="24"/>
  </cols>
  <sheetData>
    <row r="1" ht="24.75" customHeight="1" thickBot="1"/>
    <row r="2" ht="24.75" customFormat="1" customHeight="1" s="1" thickBot="1">
      <c r="A2" s="239" t="n"/>
      <c r="B2" s="239" t="inlineStr">
        <is>
          <t>WIN1</t>
        </is>
      </c>
      <c r="C2" s="443" t="n"/>
      <c r="D2" s="434" t="inlineStr">
        <is>
          <t>WIN2</t>
        </is>
      </c>
      <c r="E2" s="442" t="n"/>
      <c r="F2" s="239" t="inlineStr">
        <is>
          <t>WIN3</t>
        </is>
      </c>
      <c r="G2" s="443" t="n"/>
      <c r="H2" s="434" t="inlineStr">
        <is>
          <t>WIN4</t>
        </is>
      </c>
      <c r="I2" s="442" t="n"/>
      <c r="J2" s="239" t="inlineStr">
        <is>
          <t>WIN5</t>
        </is>
      </c>
      <c r="K2" s="443" t="n"/>
      <c r="L2" s="236" t="inlineStr">
        <is>
          <t>WIN1</t>
        </is>
      </c>
      <c r="M2" s="237" t="inlineStr">
        <is>
          <t>WIN2</t>
        </is>
      </c>
      <c r="N2" s="237" t="inlineStr">
        <is>
          <t>WIN3</t>
        </is>
      </c>
      <c r="O2" s="237" t="inlineStr">
        <is>
          <t>WIN4</t>
        </is>
      </c>
      <c r="P2" s="238" t="inlineStr">
        <is>
          <t>WIN5</t>
        </is>
      </c>
      <c r="Q2" s="320" t="inlineStr">
        <is>
          <t>WIN1</t>
        </is>
      </c>
      <c r="R2" s="321" t="inlineStr">
        <is>
          <t>WIN2</t>
        </is>
      </c>
      <c r="S2" s="321" t="inlineStr">
        <is>
          <t>WIN3</t>
        </is>
      </c>
      <c r="T2" s="321" t="inlineStr">
        <is>
          <t>WIN4</t>
        </is>
      </c>
      <c r="U2" s="322" t="inlineStr">
        <is>
          <t>WIN5</t>
        </is>
      </c>
      <c r="V2" s="239" t="inlineStr">
        <is>
          <t>人気の和</t>
        </is>
      </c>
      <c r="W2" s="239" t="inlineStr">
        <is>
          <t>人気の和</t>
        </is>
      </c>
      <c r="X2" s="442" t="n"/>
      <c r="Y2" s="443" t="n"/>
    </row>
    <row r="3">
      <c r="A3" s="241" t="n">
        <v>1</v>
      </c>
      <c r="B3" s="498" t="n">
        <v>1</v>
      </c>
      <c r="C3" s="282">
        <f>VLOOKUP(B3,オッズデータ入力!C$7:D$25,2,FALSE)</f>
        <v/>
      </c>
      <c r="D3" s="504" t="n">
        <v>1</v>
      </c>
      <c r="E3" s="304">
        <f>VLOOKUP(D3,オッズデータ入力!O$7:P$25,2,FALSE)</f>
        <v/>
      </c>
      <c r="F3" s="498" t="n">
        <v>1</v>
      </c>
      <c r="G3" s="285">
        <f>VLOOKUP(F3,オッズデータ入力!AA$7:AB$25,2,FALSE)</f>
        <v/>
      </c>
      <c r="H3" s="504" t="n"/>
      <c r="I3" s="309" t="n"/>
      <c r="J3" s="498" t="n"/>
      <c r="K3" s="299" t="n"/>
      <c r="L3" s="273">
        <f>IF(B3&lt;=2,"A",IF(B3&lt;=5,"B",IF(B3&lt;=7,"C",IF(B3&lt;=10,"D",IF(B3&lt;=13,"E",IF(B3&lt;=16,"F",IF(B3&lt;=18,"G")))))))</f>
        <v/>
      </c>
      <c r="M3" s="259">
        <f>IF(D3&lt;=2,"A",IF(D3&lt;=5,"B",IF(D3&lt;=7,"C",IF(D3&lt;=10,"D",IF(D3&lt;=13,"E",IF(D3&lt;=16,"F",IF(D3&lt;=18,"G")))))))</f>
        <v/>
      </c>
      <c r="N3" s="259">
        <f>IF(F3&lt;=2,"A",IF(F3&lt;=5,"B",IF(F3&lt;=7,"C",IF(F3&lt;=10,"D",IF(F3&lt;=13,"E",IF(F3&lt;=16,"F",IF(F3&lt;=18,"G")))))))</f>
        <v/>
      </c>
      <c r="O3" s="259" t="n"/>
      <c r="P3" s="274" t="n"/>
      <c r="Q3" s="323">
        <f>C3</f>
        <v/>
      </c>
      <c r="R3" s="324">
        <f>E3</f>
        <v/>
      </c>
      <c r="S3" s="324">
        <f>G3</f>
        <v/>
      </c>
      <c r="T3" s="324" t="n"/>
      <c r="U3" s="325" t="n"/>
      <c r="V3" s="241" t="inlineStr">
        <is>
          <t>14~20</t>
        </is>
      </c>
      <c r="W3" s="273">
        <f>SUM(B3,D3,F3,H3,J3)</f>
        <v/>
      </c>
      <c r="X3" s="259" t="inlineStr">
        <is>
          <t>+</t>
        </is>
      </c>
      <c r="Y3" s="274" t="n"/>
    </row>
    <row r="4">
      <c r="A4" s="245" t="n">
        <v>2</v>
      </c>
      <c r="B4" s="505" t="n">
        <v>1</v>
      </c>
      <c r="C4" s="297">
        <f>VLOOKUP(B4,オッズデータ入力!C$7:D$25,2,FALSE)</f>
        <v/>
      </c>
      <c r="D4" s="506" t="n">
        <v>1</v>
      </c>
      <c r="E4" s="305">
        <f>VLOOKUP(D4,オッズデータ入力!O$7:P$25,2,FALSE)</f>
        <v/>
      </c>
      <c r="F4" s="505" t="n">
        <v>2</v>
      </c>
      <c r="G4" s="314">
        <f>VLOOKUP(F4,オッズデータ入力!AA$7:AB$25,2,FALSE)</f>
        <v/>
      </c>
      <c r="H4" s="506" t="n"/>
      <c r="I4" s="310" t="n"/>
      <c r="J4" s="505" t="n"/>
      <c r="K4" s="300" t="n"/>
      <c r="L4" s="275">
        <f>IF(B4&lt;=2,"A",IF(B4&lt;=5,"B",IF(B4&lt;=7,"C",IF(B4&lt;=10,"D",IF(B4&lt;=13,"E",IF(B4&lt;=16,"F",IF(B4&lt;=18,"G")))))))</f>
        <v/>
      </c>
      <c r="M4" s="4">
        <f>IF(D4&lt;=2,"A",IF(D4&lt;=5,"B",IF(D4&lt;=7,"C",IF(D4&lt;=10,"D",IF(D4&lt;=13,"E",IF(D4&lt;=16,"F",IF(D4&lt;=18,"G")))))))</f>
        <v/>
      </c>
      <c r="N4" s="4">
        <f>IF(F4&lt;=2,"A",IF(F4&lt;=5,"B",IF(F4&lt;=7,"C",IF(F4&lt;=10,"D",IF(F4&lt;=13,"E",IF(F4&lt;=16,"F",IF(F4&lt;=18,"G")))))))</f>
        <v/>
      </c>
      <c r="O4" s="4" t="n"/>
      <c r="P4" s="276" t="n"/>
      <c r="Q4" s="326">
        <f>C4</f>
        <v/>
      </c>
      <c r="R4" s="327">
        <f>E4</f>
        <v/>
      </c>
      <c r="S4" s="327">
        <f>G4</f>
        <v/>
      </c>
      <c r="T4" s="327" t="n"/>
      <c r="U4" s="328" t="n"/>
      <c r="V4" s="245" t="inlineStr">
        <is>
          <t>14~20</t>
        </is>
      </c>
      <c r="W4" s="275">
        <f>SUM(B4,D4,F4,H4,J4)</f>
        <v/>
      </c>
      <c r="X4" s="4" t="inlineStr">
        <is>
          <t>+</t>
        </is>
      </c>
      <c r="Y4" s="276" t="n"/>
    </row>
    <row r="5">
      <c r="A5" s="245" t="n">
        <v>3</v>
      </c>
      <c r="B5" s="505" t="n">
        <v>1</v>
      </c>
      <c r="C5" s="297">
        <f>VLOOKUP(B5,オッズデータ入力!C$7:D$25,2,FALSE)</f>
        <v/>
      </c>
      <c r="D5" s="506" t="n">
        <v>2</v>
      </c>
      <c r="E5" s="305">
        <f>VLOOKUP(D5,オッズデータ入力!O$7:P$25,2,FALSE)</f>
        <v/>
      </c>
      <c r="F5" s="505" t="n">
        <v>1</v>
      </c>
      <c r="G5" s="314">
        <f>VLOOKUP(F5,オッズデータ入力!AA$7:AB$25,2,FALSE)</f>
        <v/>
      </c>
      <c r="H5" s="506" t="n"/>
      <c r="I5" s="310" t="n"/>
      <c r="J5" s="505" t="n"/>
      <c r="K5" s="300" t="n"/>
      <c r="L5" s="275">
        <f>IF(B5&lt;=2,"A",IF(B5&lt;=5,"B",IF(B5&lt;=7,"C",IF(B5&lt;=10,"D",IF(B5&lt;=13,"E",IF(B5&lt;=16,"F",IF(B5&lt;=18,"G")))))))</f>
        <v/>
      </c>
      <c r="M5" s="4">
        <f>IF(D5&lt;=2,"A",IF(D5&lt;=5,"B",IF(D5&lt;=7,"C",IF(D5&lt;=10,"D",IF(D5&lt;=13,"E",IF(D5&lt;=16,"F",IF(D5&lt;=18,"G")))))))</f>
        <v/>
      </c>
      <c r="N5" s="4">
        <f>IF(F5&lt;=2,"A",IF(F5&lt;=5,"B",IF(F5&lt;=7,"C",IF(F5&lt;=10,"D",IF(F5&lt;=13,"E",IF(F5&lt;=16,"F",IF(F5&lt;=18,"G")))))))</f>
        <v/>
      </c>
      <c r="O5" s="4" t="n"/>
      <c r="P5" s="276" t="n"/>
      <c r="Q5" s="326">
        <f>C5</f>
        <v/>
      </c>
      <c r="R5" s="327">
        <f>E5</f>
        <v/>
      </c>
      <c r="S5" s="327">
        <f>G5</f>
        <v/>
      </c>
      <c r="T5" s="327" t="n"/>
      <c r="U5" s="328" t="n"/>
      <c r="V5" s="245" t="inlineStr">
        <is>
          <t>14~20</t>
        </is>
      </c>
      <c r="W5" s="275">
        <f>SUM(B5,D5,F5,H5,J5)</f>
        <v/>
      </c>
      <c r="X5" s="4" t="inlineStr">
        <is>
          <t>+</t>
        </is>
      </c>
      <c r="Y5" s="276" t="n"/>
    </row>
    <row r="6">
      <c r="A6" s="245" t="n">
        <v>4</v>
      </c>
      <c r="B6" s="505" t="n">
        <v>1</v>
      </c>
      <c r="C6" s="297">
        <f>VLOOKUP(B6,オッズデータ入力!C$7:D$25,2,FALSE)</f>
        <v/>
      </c>
      <c r="D6" s="506" t="n">
        <v>2</v>
      </c>
      <c r="E6" s="305">
        <f>VLOOKUP(D6,オッズデータ入力!O$7:P$25,2,FALSE)</f>
        <v/>
      </c>
      <c r="F6" s="505" t="n">
        <v>2</v>
      </c>
      <c r="G6" s="314">
        <f>VLOOKUP(F6,オッズデータ入力!AA$7:AB$25,2,FALSE)</f>
        <v/>
      </c>
      <c r="H6" s="506" t="n"/>
      <c r="I6" s="310" t="n"/>
      <c r="J6" s="505" t="n"/>
      <c r="K6" s="300" t="n"/>
      <c r="L6" s="275">
        <f>IF(B6&lt;=2,"A",IF(B6&lt;=5,"B",IF(B6&lt;=7,"C",IF(B6&lt;=10,"D",IF(B6&lt;=13,"E",IF(B6&lt;=16,"F",IF(B6&lt;=18,"G")))))))</f>
        <v/>
      </c>
      <c r="M6" s="4">
        <f>IF(D6&lt;=2,"A",IF(D6&lt;=5,"B",IF(D6&lt;=7,"C",IF(D6&lt;=10,"D",IF(D6&lt;=13,"E",IF(D6&lt;=16,"F",IF(D6&lt;=18,"G")))))))</f>
        <v/>
      </c>
      <c r="N6" s="4">
        <f>IF(F6&lt;=2,"A",IF(F6&lt;=5,"B",IF(F6&lt;=7,"C",IF(F6&lt;=10,"D",IF(F6&lt;=13,"E",IF(F6&lt;=16,"F",IF(F6&lt;=18,"G")))))))</f>
        <v/>
      </c>
      <c r="O6" s="4" t="n"/>
      <c r="P6" s="276" t="n"/>
      <c r="Q6" s="326">
        <f>C6</f>
        <v/>
      </c>
      <c r="R6" s="327">
        <f>E6</f>
        <v/>
      </c>
      <c r="S6" s="327">
        <f>G6</f>
        <v/>
      </c>
      <c r="T6" s="327" t="n"/>
      <c r="U6" s="328" t="n"/>
      <c r="V6" s="245" t="inlineStr">
        <is>
          <t>14~20</t>
        </is>
      </c>
      <c r="W6" s="275">
        <f>SUM(B6,D6,F6,H6,J6)</f>
        <v/>
      </c>
      <c r="X6" s="4" t="inlineStr">
        <is>
          <t>+</t>
        </is>
      </c>
      <c r="Y6" s="276" t="n"/>
    </row>
    <row r="7">
      <c r="A7" s="245" t="n">
        <v>5</v>
      </c>
      <c r="B7" s="500" t="n">
        <v>2</v>
      </c>
      <c r="C7" s="283">
        <f>VLOOKUP(B7,オッズデータ入力!C$7:D$25,2,FALSE)</f>
        <v/>
      </c>
      <c r="D7" s="507" t="n">
        <v>1</v>
      </c>
      <c r="E7" s="306">
        <f>VLOOKUP(D7,オッズデータ入力!O$7:P$25,2,FALSE)</f>
        <v/>
      </c>
      <c r="F7" s="500" t="n">
        <v>1</v>
      </c>
      <c r="G7" s="286">
        <f>VLOOKUP(F7,オッズデータ入力!AA$7:AB$25,2,FALSE)</f>
        <v/>
      </c>
      <c r="H7" s="507" t="n"/>
      <c r="I7" s="311" t="n"/>
      <c r="J7" s="500" t="n"/>
      <c r="K7" s="301" t="n"/>
      <c r="L7" s="275">
        <f>IF(B7&lt;=2,"A",IF(B7&lt;=5,"B",IF(B7&lt;=7,"C",IF(B7&lt;=10,"D",IF(B7&lt;=13,"E",IF(B7&lt;=16,"F",IF(B7&lt;=18,"G")))))))</f>
        <v/>
      </c>
      <c r="M7" s="4">
        <f>IF(D7&lt;=2,"A",IF(D7&lt;=5,"B",IF(D7&lt;=7,"C",IF(D7&lt;=10,"D",IF(D7&lt;=13,"E",IF(D7&lt;=16,"F",IF(D7&lt;=18,"G")))))))</f>
        <v/>
      </c>
      <c r="N7" s="4">
        <f>IF(F7&lt;=2,"A",IF(F7&lt;=5,"B",IF(F7&lt;=7,"C",IF(F7&lt;=10,"D",IF(F7&lt;=13,"E",IF(F7&lt;=16,"F",IF(F7&lt;=18,"G")))))))</f>
        <v/>
      </c>
      <c r="O7" s="316" t="n"/>
      <c r="P7" s="276" t="n"/>
      <c r="Q7" s="326">
        <f>C7</f>
        <v/>
      </c>
      <c r="R7" s="327">
        <f>E7</f>
        <v/>
      </c>
      <c r="S7" s="327">
        <f>G7</f>
        <v/>
      </c>
      <c r="T7" s="329" t="n"/>
      <c r="U7" s="328" t="n"/>
      <c r="V7" s="245" t="inlineStr">
        <is>
          <t>14~20</t>
        </is>
      </c>
      <c r="W7" s="275">
        <f>SUM(B7,D7,F7,H7,J7)</f>
        <v/>
      </c>
      <c r="X7" s="4" t="inlineStr">
        <is>
          <t>+</t>
        </is>
      </c>
      <c r="Y7" s="276" t="n"/>
    </row>
    <row r="8">
      <c r="A8" s="245" t="n">
        <v>6</v>
      </c>
      <c r="B8" s="500" t="n">
        <v>2</v>
      </c>
      <c r="C8" s="283">
        <f>VLOOKUP(B8,オッズデータ入力!C$7:D$25,2,FALSE)</f>
        <v/>
      </c>
      <c r="D8" s="507" t="n">
        <v>1</v>
      </c>
      <c r="E8" s="306">
        <f>VLOOKUP(D8,オッズデータ入力!O$7:P$25,2,FALSE)</f>
        <v/>
      </c>
      <c r="F8" s="500" t="n">
        <v>2</v>
      </c>
      <c r="G8" s="286">
        <f>VLOOKUP(F8,オッズデータ入力!AA$7:AB$25,2,FALSE)</f>
        <v/>
      </c>
      <c r="H8" s="507" t="n"/>
      <c r="I8" s="311" t="n"/>
      <c r="J8" s="500" t="n"/>
      <c r="K8" s="301" t="n"/>
      <c r="L8" s="275">
        <f>IF(B8&lt;=2,"A",IF(B8&lt;=5,"B",IF(B8&lt;=7,"C",IF(B8&lt;=10,"D",IF(B8&lt;=13,"E",IF(B8&lt;=16,"F",IF(B8&lt;=18,"G")))))))</f>
        <v/>
      </c>
      <c r="M8" s="4">
        <f>IF(D8&lt;=2,"A",IF(D8&lt;=5,"B",IF(D8&lt;=7,"C",IF(D8&lt;=10,"D",IF(D8&lt;=13,"E",IF(D8&lt;=16,"F",IF(D8&lt;=18,"G")))))))</f>
        <v/>
      </c>
      <c r="N8" s="4">
        <f>IF(F8&lt;=2,"A",IF(F8&lt;=5,"B",IF(F8&lt;=7,"C",IF(F8&lt;=10,"D",IF(F8&lt;=13,"E",IF(F8&lt;=16,"F",IF(F8&lt;=18,"G")))))))</f>
        <v/>
      </c>
      <c r="O8" s="316" t="n"/>
      <c r="P8" s="276" t="n"/>
      <c r="Q8" s="326">
        <f>C8</f>
        <v/>
      </c>
      <c r="R8" s="327">
        <f>E8</f>
        <v/>
      </c>
      <c r="S8" s="327">
        <f>G8</f>
        <v/>
      </c>
      <c r="T8" s="329" t="n"/>
      <c r="U8" s="328" t="n"/>
      <c r="V8" s="245" t="inlineStr">
        <is>
          <t>14~20</t>
        </is>
      </c>
      <c r="W8" s="275">
        <f>SUM(B8,D8,F8,H8,J8)</f>
        <v/>
      </c>
      <c r="X8" s="4" t="inlineStr">
        <is>
          <t>+</t>
        </is>
      </c>
      <c r="Y8" s="276" t="n"/>
    </row>
    <row r="9">
      <c r="A9" s="245" t="n">
        <v>7</v>
      </c>
      <c r="B9" s="508" t="n">
        <v>2</v>
      </c>
      <c r="C9" s="298">
        <f>VLOOKUP(B9,オッズデータ入力!C$7:D$25,2,FALSE)</f>
        <v/>
      </c>
      <c r="D9" s="509" t="n">
        <v>2</v>
      </c>
      <c r="E9" s="307">
        <f>VLOOKUP(D9,オッズデータ入力!O$7:P$25,2,FALSE)</f>
        <v/>
      </c>
      <c r="F9" s="508" t="n">
        <v>1</v>
      </c>
      <c r="G9" s="315">
        <f>VLOOKUP(F9,オッズデータ入力!AA$7:AB$25,2,FALSE)</f>
        <v/>
      </c>
      <c r="H9" s="509" t="n"/>
      <c r="I9" s="312" t="n"/>
      <c r="J9" s="508" t="n"/>
      <c r="K9" s="302" t="n"/>
      <c r="L9" s="275">
        <f>IF(B9&lt;=2,"A",IF(B9&lt;=5,"B",IF(B9&lt;=7,"C",IF(B9&lt;=10,"D",IF(B9&lt;=13,"E",IF(B9&lt;=16,"F",IF(B9&lt;=18,"G")))))))</f>
        <v/>
      </c>
      <c r="M9" s="4">
        <f>IF(D9&lt;=2,"A",IF(D9&lt;=5,"B",IF(D9&lt;=7,"C",IF(D9&lt;=10,"D",IF(D9&lt;=13,"E",IF(D9&lt;=16,"F",IF(D9&lt;=18,"G")))))))</f>
        <v/>
      </c>
      <c r="N9" s="4">
        <f>IF(F9&lt;=2,"A",IF(F9&lt;=5,"B",IF(F9&lt;=7,"C",IF(F9&lt;=10,"D",IF(F9&lt;=13,"E",IF(F9&lt;=16,"F",IF(F9&lt;=18,"G")))))))</f>
        <v/>
      </c>
      <c r="O9" s="316" t="n"/>
      <c r="P9" s="276" t="n"/>
      <c r="Q9" s="326">
        <f>C9</f>
        <v/>
      </c>
      <c r="R9" s="327">
        <f>E9</f>
        <v/>
      </c>
      <c r="S9" s="327">
        <f>G9</f>
        <v/>
      </c>
      <c r="T9" s="329" t="n"/>
      <c r="U9" s="328" t="n"/>
      <c r="V9" s="245" t="inlineStr">
        <is>
          <t>14~20</t>
        </is>
      </c>
      <c r="W9" s="275">
        <f>SUM(B9,D9,F9,H9,J9)</f>
        <v/>
      </c>
      <c r="X9" s="4" t="inlineStr">
        <is>
          <t>+</t>
        </is>
      </c>
      <c r="Y9" s="276" t="n"/>
    </row>
    <row r="10" ht="24.75" customHeight="1" thickBot="1">
      <c r="A10" s="249" t="n">
        <v>8</v>
      </c>
      <c r="B10" s="502" t="n">
        <v>2</v>
      </c>
      <c r="C10" s="284">
        <f>VLOOKUP(B10,オッズデータ入力!C$7:D$25,2,FALSE)</f>
        <v/>
      </c>
      <c r="D10" s="510" t="n">
        <v>2</v>
      </c>
      <c r="E10" s="308">
        <f>VLOOKUP(D10,オッズデータ入力!O$7:P$25,2,FALSE)</f>
        <v/>
      </c>
      <c r="F10" s="502" t="n">
        <v>2</v>
      </c>
      <c r="G10" s="287">
        <f>VLOOKUP(F10,オッズデータ入力!AA$7:AB$25,2,FALSE)</f>
        <v/>
      </c>
      <c r="H10" s="510" t="n"/>
      <c r="I10" s="313" t="n"/>
      <c r="J10" s="502" t="n"/>
      <c r="K10" s="303" t="n"/>
      <c r="L10" s="277">
        <f>IF(B10&lt;=2,"A",IF(B10&lt;=5,"B",IF(B10&lt;=7,"C",IF(B10&lt;=10,"D",IF(B10&lt;=13,"E",IF(B10&lt;=16,"F",IF(B10&lt;=18,"G")))))))</f>
        <v/>
      </c>
      <c r="M10" s="260">
        <f>IF(D10&lt;=2,"A",IF(D10&lt;=5,"B",IF(D10&lt;=7,"C",IF(D10&lt;=10,"D",IF(D10&lt;=13,"E",IF(D10&lt;=16,"F",IF(D10&lt;=18,"G")))))))</f>
        <v/>
      </c>
      <c r="N10" s="260">
        <f>IF(F10&lt;=2,"A",IF(F10&lt;=5,"B",IF(F10&lt;=7,"C",IF(F10&lt;=10,"D",IF(F10&lt;=13,"E",IF(F10&lt;=16,"F",IF(F10&lt;=18,"G")))))))</f>
        <v/>
      </c>
      <c r="O10" s="317" t="n"/>
      <c r="P10" s="278" t="n"/>
      <c r="Q10" s="330">
        <f>C10</f>
        <v/>
      </c>
      <c r="R10" s="331">
        <f>E10</f>
        <v/>
      </c>
      <c r="S10" s="331">
        <f>G10</f>
        <v/>
      </c>
      <c r="T10" s="332" t="n"/>
      <c r="U10" s="333" t="n"/>
      <c r="V10" s="249" t="inlineStr">
        <is>
          <t>14~20</t>
        </is>
      </c>
      <c r="W10" s="277">
        <f>SUM(B10,D10,F10,H10,J10)</f>
        <v/>
      </c>
      <c r="X10" s="260" t="inlineStr">
        <is>
          <t>+</t>
        </is>
      </c>
      <c r="Y10" s="278" t="n"/>
    </row>
    <row r="11">
      <c r="A11" s="243" t="n">
        <v>9</v>
      </c>
      <c r="B11" s="498" t="n">
        <v>1</v>
      </c>
      <c r="C11" s="282">
        <f>VLOOKUP(B11,オッズデータ入力!C$7:D$25,2,FALSE)</f>
        <v/>
      </c>
      <c r="D11" s="504" t="n">
        <v>1</v>
      </c>
      <c r="E11" s="304">
        <f>VLOOKUP(D11,オッズデータ入力!O$7:P$25,2,FALSE)</f>
        <v/>
      </c>
      <c r="F11" s="498" t="n"/>
      <c r="G11" s="285" t="n"/>
      <c r="H11" s="504" t="n">
        <v>1</v>
      </c>
      <c r="I11" s="304">
        <f>VLOOKUP(H11,オッズデータ入力!AM$7:AN$25,2,FALSE)</f>
        <v/>
      </c>
      <c r="J11" s="254" t="n"/>
      <c r="K11" s="299" t="n"/>
      <c r="L11" s="273">
        <f>IF(B11&lt;=2,"A",IF(B11&lt;=5,"B",IF(B11&lt;=7,"C",IF(B11&lt;=10,"D",IF(B11&lt;=13,"E",IF(B11&lt;=16,"F",IF(B11&lt;=18,"G")))))))</f>
        <v/>
      </c>
      <c r="M11" s="259">
        <f>IF(D11&lt;=2,"A",IF(D11&lt;=5,"B",IF(D11&lt;=7,"C",IF(D11&lt;=10,"D",IF(D11&lt;=13,"E",IF(D11&lt;=16,"F",IF(D11&lt;=18,"G")))))))</f>
        <v/>
      </c>
      <c r="N11" s="318" t="n"/>
      <c r="O11" s="259">
        <f>IF(H11&lt;=2,"A",IF(H11&lt;=5,"B",IF(H11&lt;=7,"C",IF(H11&lt;=10,"D",IF(H11&lt;=13,"E",IF(H11&lt;=16,"F",IF(H11&lt;=18,"G")))))))</f>
        <v/>
      </c>
      <c r="P11" s="274" t="n"/>
      <c r="Q11" s="323">
        <f>C11</f>
        <v/>
      </c>
      <c r="R11" s="324">
        <f>E11</f>
        <v/>
      </c>
      <c r="S11" s="334" t="n"/>
      <c r="T11" s="324">
        <f>I11</f>
        <v/>
      </c>
      <c r="U11" s="325" t="n"/>
      <c r="V11" s="241" t="inlineStr">
        <is>
          <t>14~20</t>
        </is>
      </c>
      <c r="W11" s="273">
        <f>SUM(B11,D11,F11,H11,J11)</f>
        <v/>
      </c>
      <c r="X11" s="259" t="inlineStr">
        <is>
          <t>+</t>
        </is>
      </c>
      <c r="Y11" s="274" t="n"/>
    </row>
    <row r="12">
      <c r="A12" s="245" t="n">
        <v>10</v>
      </c>
      <c r="B12" s="505" t="n">
        <v>1</v>
      </c>
      <c r="C12" s="297">
        <f>VLOOKUP(B12,オッズデータ入力!C$7:D$25,2,FALSE)</f>
        <v/>
      </c>
      <c r="D12" s="506" t="n">
        <v>1</v>
      </c>
      <c r="E12" s="305">
        <f>VLOOKUP(D12,オッズデータ入力!O$7:P$25,2,FALSE)</f>
        <v/>
      </c>
      <c r="F12" s="505" t="n"/>
      <c r="G12" s="314" t="n"/>
      <c r="H12" s="506" t="n">
        <v>2</v>
      </c>
      <c r="I12" s="305">
        <f>VLOOKUP(H12,オッズデータ入力!AM$7:AN$25,2,FALSE)</f>
        <v/>
      </c>
      <c r="J12" s="255" t="n"/>
      <c r="K12" s="300" t="n"/>
      <c r="L12" s="275">
        <f>IF(B12&lt;=2,"A",IF(B12&lt;=5,"B",IF(B12&lt;=7,"C",IF(B12&lt;=10,"D",IF(B12&lt;=13,"E",IF(B12&lt;=16,"F",IF(B12&lt;=18,"G")))))))</f>
        <v/>
      </c>
      <c r="M12" s="4">
        <f>IF(D12&lt;=2,"A",IF(D12&lt;=5,"B",IF(D12&lt;=7,"C",IF(D12&lt;=10,"D",IF(D12&lt;=13,"E",IF(D12&lt;=16,"F",IF(D12&lt;=18,"G")))))))</f>
        <v/>
      </c>
      <c r="N12" s="316" t="n"/>
      <c r="O12" s="4">
        <f>IF(H12&lt;=2,"A",IF(H12&lt;=5,"B",IF(H12&lt;=7,"C",IF(H12&lt;=10,"D",IF(H12&lt;=13,"E",IF(H12&lt;=16,"F",IF(H12&lt;=18,"G")))))))</f>
        <v/>
      </c>
      <c r="P12" s="276" t="n"/>
      <c r="Q12" s="326">
        <f>C12</f>
        <v/>
      </c>
      <c r="R12" s="327">
        <f>E12</f>
        <v/>
      </c>
      <c r="S12" s="329" t="n"/>
      <c r="T12" s="327">
        <f>I12</f>
        <v/>
      </c>
      <c r="U12" s="328" t="n"/>
      <c r="V12" s="245" t="inlineStr">
        <is>
          <t>14~20</t>
        </is>
      </c>
      <c r="W12" s="275">
        <f>SUM(B12,D12,F12,H12,J12)</f>
        <v/>
      </c>
      <c r="X12" s="4" t="inlineStr">
        <is>
          <t>+</t>
        </is>
      </c>
      <c r="Y12" s="276" t="n"/>
    </row>
    <row r="13">
      <c r="A13" s="245" t="n">
        <v>11</v>
      </c>
      <c r="B13" s="505" t="n">
        <v>1</v>
      </c>
      <c r="C13" s="297">
        <f>VLOOKUP(B13,オッズデータ入力!C$7:D$25,2,FALSE)</f>
        <v/>
      </c>
      <c r="D13" s="506" t="n">
        <v>2</v>
      </c>
      <c r="E13" s="305">
        <f>VLOOKUP(D13,オッズデータ入力!O$7:P$25,2,FALSE)</f>
        <v/>
      </c>
      <c r="F13" s="505" t="n"/>
      <c r="G13" s="314" t="n"/>
      <c r="H13" s="506" t="n">
        <v>1</v>
      </c>
      <c r="I13" s="305">
        <f>VLOOKUP(H13,オッズデータ入力!AM$7:AN$25,2,FALSE)</f>
        <v/>
      </c>
      <c r="J13" s="255" t="n"/>
      <c r="K13" s="300" t="n"/>
      <c r="L13" s="275">
        <f>IF(B13&lt;=2,"A",IF(B13&lt;=5,"B",IF(B13&lt;=7,"C",IF(B13&lt;=10,"D",IF(B13&lt;=13,"E",IF(B13&lt;=16,"F",IF(B13&lt;=18,"G")))))))</f>
        <v/>
      </c>
      <c r="M13" s="4">
        <f>IF(D13&lt;=2,"A",IF(D13&lt;=5,"B",IF(D13&lt;=7,"C",IF(D13&lt;=10,"D",IF(D13&lt;=13,"E",IF(D13&lt;=16,"F",IF(D13&lt;=18,"G")))))))</f>
        <v/>
      </c>
      <c r="N13" s="316" t="n"/>
      <c r="O13" s="4">
        <f>IF(H13&lt;=2,"A",IF(H13&lt;=5,"B",IF(H13&lt;=7,"C",IF(H13&lt;=10,"D",IF(H13&lt;=13,"E",IF(H13&lt;=16,"F",IF(H13&lt;=18,"G")))))))</f>
        <v/>
      </c>
      <c r="P13" s="276" t="n"/>
      <c r="Q13" s="326">
        <f>C13</f>
        <v/>
      </c>
      <c r="R13" s="327">
        <f>E13</f>
        <v/>
      </c>
      <c r="S13" s="329" t="n"/>
      <c r="T13" s="327">
        <f>I13</f>
        <v/>
      </c>
      <c r="U13" s="328" t="n"/>
      <c r="V13" s="245" t="inlineStr">
        <is>
          <t>14~20</t>
        </is>
      </c>
      <c r="W13" s="275">
        <f>SUM(B13,D13,F13,H13,J13)</f>
        <v/>
      </c>
      <c r="X13" s="4" t="inlineStr">
        <is>
          <t>+</t>
        </is>
      </c>
      <c r="Y13" s="276" t="n"/>
    </row>
    <row r="14">
      <c r="A14" s="245" t="n">
        <v>12</v>
      </c>
      <c r="B14" s="505" t="n">
        <v>1</v>
      </c>
      <c r="C14" s="297">
        <f>VLOOKUP(B14,オッズデータ入力!C$7:D$25,2,FALSE)</f>
        <v/>
      </c>
      <c r="D14" s="506" t="n">
        <v>2</v>
      </c>
      <c r="E14" s="305">
        <f>VLOOKUP(D14,オッズデータ入力!O$7:P$25,2,FALSE)</f>
        <v/>
      </c>
      <c r="F14" s="505" t="n"/>
      <c r="G14" s="314" t="n"/>
      <c r="H14" s="506" t="n">
        <v>2</v>
      </c>
      <c r="I14" s="305">
        <f>VLOOKUP(H14,オッズデータ入力!AM$7:AN$25,2,FALSE)</f>
        <v/>
      </c>
      <c r="J14" s="255" t="n"/>
      <c r="K14" s="300" t="n"/>
      <c r="L14" s="275">
        <f>IF(B14&lt;=2,"A",IF(B14&lt;=5,"B",IF(B14&lt;=7,"C",IF(B14&lt;=10,"D",IF(B14&lt;=13,"E",IF(B14&lt;=16,"F",IF(B14&lt;=18,"G")))))))</f>
        <v/>
      </c>
      <c r="M14" s="4">
        <f>IF(D14&lt;=2,"A",IF(D14&lt;=5,"B",IF(D14&lt;=7,"C",IF(D14&lt;=10,"D",IF(D14&lt;=13,"E",IF(D14&lt;=16,"F",IF(D14&lt;=18,"G")))))))</f>
        <v/>
      </c>
      <c r="N14" s="316" t="n"/>
      <c r="O14" s="4">
        <f>IF(H14&lt;=2,"A",IF(H14&lt;=5,"B",IF(H14&lt;=7,"C",IF(H14&lt;=10,"D",IF(H14&lt;=13,"E",IF(H14&lt;=16,"F",IF(H14&lt;=18,"G")))))))</f>
        <v/>
      </c>
      <c r="P14" s="276" t="n"/>
      <c r="Q14" s="326">
        <f>C14</f>
        <v/>
      </c>
      <c r="R14" s="327">
        <f>E14</f>
        <v/>
      </c>
      <c r="S14" s="329" t="n"/>
      <c r="T14" s="327">
        <f>I14</f>
        <v/>
      </c>
      <c r="U14" s="328" t="n"/>
      <c r="V14" s="245" t="inlineStr">
        <is>
          <t>14~20</t>
        </is>
      </c>
      <c r="W14" s="275">
        <f>SUM(B14,D14,F14,H14,J14)</f>
        <v/>
      </c>
      <c r="X14" s="4" t="inlineStr">
        <is>
          <t>+</t>
        </is>
      </c>
      <c r="Y14" s="276" t="n"/>
    </row>
    <row r="15">
      <c r="A15" s="245" t="n">
        <v>13</v>
      </c>
      <c r="B15" s="500" t="n">
        <v>2</v>
      </c>
      <c r="C15" s="283">
        <f>VLOOKUP(B15,オッズデータ入力!C$7:D$25,2,FALSE)</f>
        <v/>
      </c>
      <c r="D15" s="507" t="n">
        <v>1</v>
      </c>
      <c r="E15" s="305">
        <f>VLOOKUP(D15,オッズデータ入力!O$7:P$25,2,FALSE)</f>
        <v/>
      </c>
      <c r="F15" s="505" t="n"/>
      <c r="G15" s="314" t="n"/>
      <c r="H15" s="507" t="n">
        <v>1</v>
      </c>
      <c r="I15" s="305">
        <f>VLOOKUP(H15,オッズデータ入力!AM$7:AN$25,2,FALSE)</f>
        <v/>
      </c>
      <c r="J15" s="255" t="n"/>
      <c r="K15" s="300" t="n"/>
      <c r="L15" s="275">
        <f>IF(B15&lt;=2,"A",IF(B15&lt;=5,"B",IF(B15&lt;=7,"C",IF(B15&lt;=10,"D",IF(B15&lt;=13,"E",IF(B15&lt;=16,"F",IF(B15&lt;=18,"G")))))))</f>
        <v/>
      </c>
      <c r="M15" s="4">
        <f>IF(D15&lt;=2,"A",IF(D15&lt;=5,"B",IF(D15&lt;=7,"C",IF(D15&lt;=10,"D",IF(D15&lt;=13,"E",IF(D15&lt;=16,"F",IF(D15&lt;=18,"G")))))))</f>
        <v/>
      </c>
      <c r="N15" s="316" t="n"/>
      <c r="O15" s="4">
        <f>IF(H15&lt;=2,"A",IF(H15&lt;=5,"B",IF(H15&lt;=7,"C",IF(H15&lt;=10,"D",IF(H15&lt;=13,"E",IF(H15&lt;=16,"F",IF(H15&lt;=18,"G")))))))</f>
        <v/>
      </c>
      <c r="P15" s="276" t="n"/>
      <c r="Q15" s="326">
        <f>C15</f>
        <v/>
      </c>
      <c r="R15" s="327">
        <f>E15</f>
        <v/>
      </c>
      <c r="S15" s="329" t="n"/>
      <c r="T15" s="327">
        <f>I15</f>
        <v/>
      </c>
      <c r="U15" s="328" t="n"/>
      <c r="V15" s="245" t="inlineStr">
        <is>
          <t>14~20</t>
        </is>
      </c>
      <c r="W15" s="275">
        <f>SUM(B15,D15,F15,H15,J15)</f>
        <v/>
      </c>
      <c r="X15" s="4" t="inlineStr">
        <is>
          <t>+</t>
        </is>
      </c>
      <c r="Y15" s="276" t="n"/>
    </row>
    <row r="16">
      <c r="A16" s="245" t="n">
        <v>14</v>
      </c>
      <c r="B16" s="500" t="n">
        <v>2</v>
      </c>
      <c r="C16" s="283">
        <f>VLOOKUP(B16,オッズデータ入力!C$7:D$25,2,FALSE)</f>
        <v/>
      </c>
      <c r="D16" s="507" t="n">
        <v>1</v>
      </c>
      <c r="E16" s="306">
        <f>VLOOKUP(D16,オッズデータ入力!O$7:P$25,2,FALSE)</f>
        <v/>
      </c>
      <c r="F16" s="500" t="n"/>
      <c r="G16" s="286" t="n"/>
      <c r="H16" s="507" t="n">
        <v>2</v>
      </c>
      <c r="I16" s="306">
        <f>VLOOKUP(H16,オッズデータ入力!AM$7:AN$25,2,FALSE)</f>
        <v/>
      </c>
      <c r="J16" s="256" t="n"/>
      <c r="K16" s="301" t="n"/>
      <c r="L16" s="275">
        <f>IF(B16&lt;=2,"A",IF(B16&lt;=5,"B",IF(B16&lt;=7,"C",IF(B16&lt;=10,"D",IF(B16&lt;=13,"E",IF(B16&lt;=16,"F",IF(B16&lt;=18,"G")))))))</f>
        <v/>
      </c>
      <c r="M16" s="4">
        <f>IF(D16&lt;=2,"A",IF(D16&lt;=5,"B",IF(D16&lt;=7,"C",IF(D16&lt;=10,"D",IF(D16&lt;=13,"E",IF(D16&lt;=16,"F",IF(D16&lt;=18,"G")))))))</f>
        <v/>
      </c>
      <c r="N16" s="316" t="n"/>
      <c r="O16" s="4">
        <f>IF(H16&lt;=2,"A",IF(H16&lt;=5,"B",IF(H16&lt;=7,"C",IF(H16&lt;=10,"D",IF(H16&lt;=13,"E",IF(H16&lt;=16,"F",IF(H16&lt;=18,"G")))))))</f>
        <v/>
      </c>
      <c r="P16" s="276" t="n"/>
      <c r="Q16" s="326">
        <f>C16</f>
        <v/>
      </c>
      <c r="R16" s="327">
        <f>E16</f>
        <v/>
      </c>
      <c r="S16" s="329" t="n"/>
      <c r="T16" s="327">
        <f>I16</f>
        <v/>
      </c>
      <c r="U16" s="328" t="n"/>
      <c r="V16" s="245" t="inlineStr">
        <is>
          <t>14~20</t>
        </is>
      </c>
      <c r="W16" s="275">
        <f>SUM(B16,D16,F16,H16,J16)</f>
        <v/>
      </c>
      <c r="X16" s="4" t="inlineStr">
        <is>
          <t>+</t>
        </is>
      </c>
      <c r="Y16" s="276" t="n"/>
    </row>
    <row r="17">
      <c r="A17" s="245" t="n">
        <v>15</v>
      </c>
      <c r="B17" s="508" t="n">
        <v>2</v>
      </c>
      <c r="C17" s="298">
        <f>VLOOKUP(B17,オッズデータ入力!C$7:D$25,2,FALSE)</f>
        <v/>
      </c>
      <c r="D17" s="509" t="n">
        <v>2</v>
      </c>
      <c r="E17" s="307">
        <f>VLOOKUP(D17,オッズデータ入力!O$7:P$25,2,FALSE)</f>
        <v/>
      </c>
      <c r="F17" s="500" t="n"/>
      <c r="G17" s="315" t="n"/>
      <c r="H17" s="509" t="n">
        <v>1</v>
      </c>
      <c r="I17" s="307">
        <f>VLOOKUP(H17,オッズデータ入力!AM$7:AN$25,2,FALSE)</f>
        <v/>
      </c>
      <c r="J17" s="256" t="n"/>
      <c r="K17" s="301" t="n"/>
      <c r="L17" s="275">
        <f>IF(B17&lt;=2,"A",IF(B17&lt;=5,"B",IF(B17&lt;=7,"C",IF(B17&lt;=10,"D",IF(B17&lt;=13,"E",IF(B17&lt;=16,"F",IF(B17&lt;=18,"G")))))))</f>
        <v/>
      </c>
      <c r="M17" s="4">
        <f>IF(D17&lt;=2,"A",IF(D17&lt;=5,"B",IF(D17&lt;=7,"C",IF(D17&lt;=10,"D",IF(D17&lt;=13,"E",IF(D17&lt;=16,"F",IF(D17&lt;=18,"G")))))))</f>
        <v/>
      </c>
      <c r="N17" s="316" t="n"/>
      <c r="O17" s="4">
        <f>IF(H17&lt;=2,"A",IF(H17&lt;=5,"B",IF(H17&lt;=7,"C",IF(H17&lt;=10,"D",IF(H17&lt;=13,"E",IF(H17&lt;=16,"F",IF(H17&lt;=18,"G")))))))</f>
        <v/>
      </c>
      <c r="P17" s="276" t="n"/>
      <c r="Q17" s="326">
        <f>C17</f>
        <v/>
      </c>
      <c r="R17" s="327">
        <f>E17</f>
        <v/>
      </c>
      <c r="S17" s="329" t="n"/>
      <c r="T17" s="327">
        <f>I17</f>
        <v/>
      </c>
      <c r="U17" s="328" t="n"/>
      <c r="V17" s="245" t="inlineStr">
        <is>
          <t>14~20</t>
        </is>
      </c>
      <c r="W17" s="275">
        <f>SUM(B17,D17,F17,H17,J17)</f>
        <v/>
      </c>
      <c r="X17" s="4" t="inlineStr">
        <is>
          <t>+</t>
        </is>
      </c>
      <c r="Y17" s="276" t="n"/>
    </row>
    <row r="18" ht="24.75" customHeight="1" thickBot="1">
      <c r="A18" s="247" t="n">
        <v>16</v>
      </c>
      <c r="B18" s="502" t="n">
        <v>2</v>
      </c>
      <c r="C18" s="284">
        <f>VLOOKUP(B18,オッズデータ入力!C$7:D$25,2,FALSE)</f>
        <v/>
      </c>
      <c r="D18" s="510" t="n">
        <v>2</v>
      </c>
      <c r="E18" s="308">
        <f>VLOOKUP(D18,オッズデータ入力!O$7:P$25,2,FALSE)</f>
        <v/>
      </c>
      <c r="F18" s="502" t="n"/>
      <c r="G18" s="287" t="n"/>
      <c r="H18" s="510" t="n">
        <v>2</v>
      </c>
      <c r="I18" s="308">
        <f>VLOOKUP(H18,オッズデータ入力!AM$7:AN$25,2,FALSE)</f>
        <v/>
      </c>
      <c r="J18" s="257" t="n"/>
      <c r="K18" s="303" t="n"/>
      <c r="L18" s="277">
        <f>IF(B18&lt;=2,"A",IF(B18&lt;=5,"B",IF(B18&lt;=7,"C",IF(B18&lt;=10,"D",IF(B18&lt;=13,"E",IF(B18&lt;=16,"F",IF(B18&lt;=18,"G")))))))</f>
        <v/>
      </c>
      <c r="M18" s="260">
        <f>IF(D18&lt;=2,"A",IF(D18&lt;=5,"B",IF(D18&lt;=7,"C",IF(D18&lt;=10,"D",IF(D18&lt;=13,"E",IF(D18&lt;=16,"F",IF(D18&lt;=18,"G")))))))</f>
        <v/>
      </c>
      <c r="N18" s="317" t="n"/>
      <c r="O18" s="260">
        <f>IF(H18&lt;=2,"A",IF(H18&lt;=5,"B",IF(H18&lt;=7,"C",IF(H18&lt;=10,"D",IF(H18&lt;=13,"E",IF(H18&lt;=16,"F",IF(H18&lt;=18,"G")))))))</f>
        <v/>
      </c>
      <c r="P18" s="278" t="n"/>
      <c r="Q18" s="330">
        <f>C18</f>
        <v/>
      </c>
      <c r="R18" s="331">
        <f>E18</f>
        <v/>
      </c>
      <c r="S18" s="332" t="n"/>
      <c r="T18" s="331">
        <f>I18</f>
        <v/>
      </c>
      <c r="U18" s="333" t="n"/>
      <c r="V18" s="249" t="inlineStr">
        <is>
          <t>14~20</t>
        </is>
      </c>
      <c r="W18" s="277">
        <f>SUM(B18,D18,F18,H18,J18)</f>
        <v/>
      </c>
      <c r="X18" s="260" t="inlineStr">
        <is>
          <t>+</t>
        </is>
      </c>
      <c r="Y18" s="278" t="n"/>
    </row>
    <row r="19">
      <c r="A19" s="241" t="n">
        <v>17</v>
      </c>
      <c r="B19" s="498" t="n">
        <v>1</v>
      </c>
      <c r="C19" s="282">
        <f>VLOOKUP(B19,オッズデータ入力!C$7:D$25,2,FALSE)</f>
        <v/>
      </c>
      <c r="D19" s="504" t="n">
        <v>1</v>
      </c>
      <c r="E19" s="304">
        <f>VLOOKUP(D19,オッズデータ入力!O$7:P$25,2,FALSE)</f>
        <v/>
      </c>
      <c r="F19" s="254" t="n"/>
      <c r="G19" s="285" t="n"/>
      <c r="H19" s="504" t="n"/>
      <c r="I19" s="309" t="n"/>
      <c r="J19" s="498" t="n">
        <v>1</v>
      </c>
      <c r="K19" s="282">
        <f>VLOOKUP(J19,オッズデータ入力!AY$7:AZ$25,2,FALSE)</f>
        <v/>
      </c>
      <c r="L19" s="273">
        <f>IF(B19&lt;=2,"A",IF(B19&lt;=5,"B",IF(B19&lt;=7,"C",IF(B19&lt;=10,"D",IF(B19&lt;=13,"E",IF(B19&lt;=16,"F",IF(B19&lt;=18,"G")))))))</f>
        <v/>
      </c>
      <c r="M19" s="259">
        <f>IF(D19&lt;=2,"A",IF(D19&lt;=5,"B",IF(D19&lt;=7,"C",IF(D19&lt;=10,"D",IF(D19&lt;=13,"E",IF(D19&lt;=16,"F",IF(D19&lt;=18,"G")))))))</f>
        <v/>
      </c>
      <c r="N19" s="318" t="n"/>
      <c r="O19" s="259" t="n"/>
      <c r="P19" s="264">
        <f>IF(J19&lt;=2,"A",IF(J19&lt;=5,"B",IF(J19&lt;=7,"C",IF(J19&lt;=10,"D",IF(J19&lt;=13,"E",IF(J19&lt;=16,"F",IF(J19&lt;=18,"G")))))))</f>
        <v/>
      </c>
      <c r="Q19" s="323">
        <f>C19</f>
        <v/>
      </c>
      <c r="R19" s="324">
        <f>E19</f>
        <v/>
      </c>
      <c r="S19" s="334" t="n"/>
      <c r="T19" s="324" t="n"/>
      <c r="U19" s="335">
        <f>K19</f>
        <v/>
      </c>
      <c r="V19" s="241" t="inlineStr">
        <is>
          <t>14~20</t>
        </is>
      </c>
      <c r="W19" s="273">
        <f>SUM(B19,D19,F19,H19,J19)</f>
        <v/>
      </c>
      <c r="X19" s="259" t="inlineStr">
        <is>
          <t>+</t>
        </is>
      </c>
      <c r="Y19" s="274" t="n"/>
    </row>
    <row r="20">
      <c r="A20" s="245" t="n">
        <v>18</v>
      </c>
      <c r="B20" s="505" t="n">
        <v>1</v>
      </c>
      <c r="C20" s="297">
        <f>VLOOKUP(B20,オッズデータ入力!C$7:D$25,2,FALSE)</f>
        <v/>
      </c>
      <c r="D20" s="506" t="n">
        <v>1</v>
      </c>
      <c r="E20" s="305">
        <f>VLOOKUP(D20,オッズデータ入力!O$7:P$25,2,FALSE)</f>
        <v/>
      </c>
      <c r="F20" s="255" t="n"/>
      <c r="G20" s="314" t="n"/>
      <c r="H20" s="506" t="n"/>
      <c r="I20" s="310" t="n"/>
      <c r="J20" s="505" t="n">
        <v>2</v>
      </c>
      <c r="K20" s="297">
        <f>VLOOKUP(J20,オッズデータ入力!AY$7:AZ$25,2,FALSE)</f>
        <v/>
      </c>
      <c r="L20" s="275">
        <f>IF(B20&lt;=2,"A",IF(B20&lt;=5,"B",IF(B20&lt;=7,"C",IF(B20&lt;=10,"D",IF(B20&lt;=13,"E",IF(B20&lt;=16,"F",IF(B20&lt;=18,"G")))))))</f>
        <v/>
      </c>
      <c r="M20" s="4">
        <f>IF(D20&lt;=2,"A",IF(D20&lt;=5,"B",IF(D20&lt;=7,"C",IF(D20&lt;=10,"D",IF(D20&lt;=13,"E",IF(D20&lt;=16,"F",IF(D20&lt;=18,"G")))))))</f>
        <v/>
      </c>
      <c r="N20" s="316" t="n"/>
      <c r="O20" s="4" t="n"/>
      <c r="P20" s="3">
        <f>IF(J20&lt;=2,"A",IF(J20&lt;=5,"B",IF(J20&lt;=7,"C",IF(J20&lt;=10,"D",IF(J20&lt;=13,"E",IF(J20&lt;=16,"F",IF(J20&lt;=18,"G")))))))</f>
        <v/>
      </c>
      <c r="Q20" s="326">
        <f>C20</f>
        <v/>
      </c>
      <c r="R20" s="327">
        <f>E20</f>
        <v/>
      </c>
      <c r="S20" s="329" t="n"/>
      <c r="T20" s="327" t="n"/>
      <c r="U20" s="336">
        <f>K20</f>
        <v/>
      </c>
      <c r="V20" s="245" t="inlineStr">
        <is>
          <t>14~20</t>
        </is>
      </c>
      <c r="W20" s="275">
        <f>SUM(B20,D20,F20,H20,J20)</f>
        <v/>
      </c>
      <c r="X20" s="4" t="inlineStr">
        <is>
          <t>+</t>
        </is>
      </c>
      <c r="Y20" s="276" t="n"/>
    </row>
    <row r="21">
      <c r="A21" s="245" t="n">
        <v>19</v>
      </c>
      <c r="B21" s="505" t="n">
        <v>1</v>
      </c>
      <c r="C21" s="297">
        <f>VLOOKUP(B21,オッズデータ入力!C$7:D$25,2,FALSE)</f>
        <v/>
      </c>
      <c r="D21" s="506" t="n">
        <v>2</v>
      </c>
      <c r="E21" s="305">
        <f>VLOOKUP(D21,オッズデータ入力!O$7:P$25,2,FALSE)</f>
        <v/>
      </c>
      <c r="F21" s="255" t="n"/>
      <c r="G21" s="314" t="n"/>
      <c r="H21" s="506" t="n"/>
      <c r="I21" s="310" t="n"/>
      <c r="J21" s="505" t="n">
        <v>1</v>
      </c>
      <c r="K21" s="297">
        <f>VLOOKUP(J21,オッズデータ入力!AY$7:AZ$25,2,FALSE)</f>
        <v/>
      </c>
      <c r="L21" s="275">
        <f>IF(B21&lt;=2,"A",IF(B21&lt;=5,"B",IF(B21&lt;=7,"C",IF(B21&lt;=10,"D",IF(B21&lt;=13,"E",IF(B21&lt;=16,"F",IF(B21&lt;=18,"G")))))))</f>
        <v/>
      </c>
      <c r="M21" s="4">
        <f>IF(D21&lt;=2,"A",IF(D21&lt;=5,"B",IF(D21&lt;=7,"C",IF(D21&lt;=10,"D",IF(D21&lt;=13,"E",IF(D21&lt;=16,"F",IF(D21&lt;=18,"G")))))))</f>
        <v/>
      </c>
      <c r="N21" s="316" t="n"/>
      <c r="O21" s="4" t="n"/>
      <c r="P21" s="3">
        <f>IF(J21&lt;=2,"A",IF(J21&lt;=5,"B",IF(J21&lt;=7,"C",IF(J21&lt;=10,"D",IF(J21&lt;=13,"E",IF(J21&lt;=16,"F",IF(J21&lt;=18,"G")))))))</f>
        <v/>
      </c>
      <c r="Q21" s="326">
        <f>C21</f>
        <v/>
      </c>
      <c r="R21" s="327">
        <f>E21</f>
        <v/>
      </c>
      <c r="S21" s="329" t="n"/>
      <c r="T21" s="327" t="n"/>
      <c r="U21" s="336">
        <f>K21</f>
        <v/>
      </c>
      <c r="V21" s="245" t="inlineStr">
        <is>
          <t>14~20</t>
        </is>
      </c>
      <c r="W21" s="275">
        <f>SUM(B21,D21,F21,H21,J21)</f>
        <v/>
      </c>
      <c r="X21" s="4" t="inlineStr">
        <is>
          <t>+</t>
        </is>
      </c>
      <c r="Y21" s="276" t="n"/>
    </row>
    <row r="22">
      <c r="A22" s="245" t="n">
        <v>20</v>
      </c>
      <c r="B22" s="505" t="n">
        <v>1</v>
      </c>
      <c r="C22" s="297">
        <f>VLOOKUP(B22,オッズデータ入力!C$7:D$25,2,FALSE)</f>
        <v/>
      </c>
      <c r="D22" s="506" t="n">
        <v>2</v>
      </c>
      <c r="E22" s="305">
        <f>VLOOKUP(D22,オッズデータ入力!O$7:P$25,2,FALSE)</f>
        <v/>
      </c>
      <c r="F22" s="255" t="n"/>
      <c r="G22" s="314" t="n"/>
      <c r="H22" s="506" t="n"/>
      <c r="I22" s="310" t="n"/>
      <c r="J22" s="505" t="n">
        <v>2</v>
      </c>
      <c r="K22" s="297">
        <f>VLOOKUP(J22,オッズデータ入力!AY$7:AZ$25,2,FALSE)</f>
        <v/>
      </c>
      <c r="L22" s="275">
        <f>IF(B22&lt;=2,"A",IF(B22&lt;=5,"B",IF(B22&lt;=7,"C",IF(B22&lt;=10,"D",IF(B22&lt;=13,"E",IF(B22&lt;=16,"F",IF(B22&lt;=18,"G")))))))</f>
        <v/>
      </c>
      <c r="M22" s="4">
        <f>IF(D22&lt;=2,"A",IF(D22&lt;=5,"B",IF(D22&lt;=7,"C",IF(D22&lt;=10,"D",IF(D22&lt;=13,"E",IF(D22&lt;=16,"F",IF(D22&lt;=18,"G")))))))</f>
        <v/>
      </c>
      <c r="N22" s="316" t="n"/>
      <c r="O22" s="4" t="n"/>
      <c r="P22" s="3">
        <f>IF(J22&lt;=2,"A",IF(J22&lt;=5,"B",IF(J22&lt;=7,"C",IF(J22&lt;=10,"D",IF(J22&lt;=13,"E",IF(J22&lt;=16,"F",IF(J22&lt;=18,"G")))))))</f>
        <v/>
      </c>
      <c r="Q22" s="326">
        <f>C22</f>
        <v/>
      </c>
      <c r="R22" s="327">
        <f>E22</f>
        <v/>
      </c>
      <c r="S22" s="329" t="n"/>
      <c r="T22" s="327" t="n"/>
      <c r="U22" s="336">
        <f>K22</f>
        <v/>
      </c>
      <c r="V22" s="245" t="inlineStr">
        <is>
          <t>14~20</t>
        </is>
      </c>
      <c r="W22" s="275">
        <f>SUM(B22,D22,F22,H22,J22)</f>
        <v/>
      </c>
      <c r="X22" s="4" t="inlineStr">
        <is>
          <t>+</t>
        </is>
      </c>
      <c r="Y22" s="276" t="n"/>
    </row>
    <row r="23">
      <c r="A23" s="245" t="n">
        <v>21</v>
      </c>
      <c r="B23" s="500" t="n">
        <v>2</v>
      </c>
      <c r="C23" s="283">
        <f>VLOOKUP(B23,オッズデータ入力!C$7:D$25,2,FALSE)</f>
        <v/>
      </c>
      <c r="D23" s="507" t="n">
        <v>1</v>
      </c>
      <c r="E23" s="305">
        <f>VLOOKUP(D23,オッズデータ入力!O$7:P$25,2,FALSE)</f>
        <v/>
      </c>
      <c r="F23" s="255" t="n"/>
      <c r="G23" s="314" t="n"/>
      <c r="H23" s="506" t="n"/>
      <c r="I23" s="310" t="n"/>
      <c r="J23" s="500" t="n">
        <v>1</v>
      </c>
      <c r="K23" s="297">
        <f>VLOOKUP(J23,オッズデータ入力!AY$7:AZ$25,2,FALSE)</f>
        <v/>
      </c>
      <c r="L23" s="275">
        <f>IF(B23&lt;=2,"A",IF(B23&lt;=5,"B",IF(B23&lt;=7,"C",IF(B23&lt;=10,"D",IF(B23&lt;=13,"E",IF(B23&lt;=16,"F",IF(B23&lt;=18,"G")))))))</f>
        <v/>
      </c>
      <c r="M23" s="4">
        <f>IF(D23&lt;=2,"A",IF(D23&lt;=5,"B",IF(D23&lt;=7,"C",IF(D23&lt;=10,"D",IF(D23&lt;=13,"E",IF(D23&lt;=16,"F",IF(D23&lt;=18,"G")))))))</f>
        <v/>
      </c>
      <c r="N23" s="316" t="n"/>
      <c r="O23" s="4" t="n"/>
      <c r="P23" s="3">
        <f>IF(J23&lt;=2,"A",IF(J23&lt;=5,"B",IF(J23&lt;=7,"C",IF(J23&lt;=10,"D",IF(J23&lt;=13,"E",IF(J23&lt;=16,"F",IF(J23&lt;=18,"G")))))))</f>
        <v/>
      </c>
      <c r="Q23" s="326">
        <f>C23</f>
        <v/>
      </c>
      <c r="R23" s="327">
        <f>E23</f>
        <v/>
      </c>
      <c r="S23" s="329" t="n"/>
      <c r="T23" s="327" t="n"/>
      <c r="U23" s="336">
        <f>K23</f>
        <v/>
      </c>
      <c r="V23" s="245" t="inlineStr">
        <is>
          <t>14~20</t>
        </is>
      </c>
      <c r="W23" s="275">
        <f>SUM(B23,D23,F23,H23,J23)</f>
        <v/>
      </c>
      <c r="X23" s="4" t="inlineStr">
        <is>
          <t>+</t>
        </is>
      </c>
      <c r="Y23" s="276" t="n"/>
    </row>
    <row r="24">
      <c r="A24" s="245" t="n">
        <v>22</v>
      </c>
      <c r="B24" s="500" t="n">
        <v>2</v>
      </c>
      <c r="C24" s="283">
        <f>VLOOKUP(B24,オッズデータ入力!C$7:D$25,2,FALSE)</f>
        <v/>
      </c>
      <c r="D24" s="507" t="n">
        <v>1</v>
      </c>
      <c r="E24" s="306">
        <f>VLOOKUP(D24,オッズデータ入力!O$7:P$25,2,FALSE)</f>
        <v/>
      </c>
      <c r="F24" s="256" t="n"/>
      <c r="G24" s="286" t="n"/>
      <c r="H24" s="507" t="n"/>
      <c r="I24" s="311" t="n"/>
      <c r="J24" s="500" t="n">
        <v>2</v>
      </c>
      <c r="K24" s="283">
        <f>VLOOKUP(J24,オッズデータ入力!AY$7:AZ$25,2,FALSE)</f>
        <v/>
      </c>
      <c r="L24" s="275">
        <f>IF(B24&lt;=2,"A",IF(B24&lt;=5,"B",IF(B24&lt;=7,"C",IF(B24&lt;=10,"D",IF(B24&lt;=13,"E",IF(B24&lt;=16,"F",IF(B24&lt;=18,"G")))))))</f>
        <v/>
      </c>
      <c r="M24" s="4">
        <f>IF(D24&lt;=2,"A",IF(D24&lt;=5,"B",IF(D24&lt;=7,"C",IF(D24&lt;=10,"D",IF(D24&lt;=13,"E",IF(D24&lt;=16,"F",IF(D24&lt;=18,"G")))))))</f>
        <v/>
      </c>
      <c r="N24" s="316" t="n"/>
      <c r="O24" s="4" t="n"/>
      <c r="P24" s="3">
        <f>IF(J24&lt;=2,"A",IF(J24&lt;=5,"B",IF(J24&lt;=7,"C",IF(J24&lt;=10,"D",IF(J24&lt;=13,"E",IF(J24&lt;=16,"F",IF(J24&lt;=18,"G")))))))</f>
        <v/>
      </c>
      <c r="Q24" s="326">
        <f>C24</f>
        <v/>
      </c>
      <c r="R24" s="327">
        <f>E24</f>
        <v/>
      </c>
      <c r="S24" s="329" t="n"/>
      <c r="T24" s="327" t="n"/>
      <c r="U24" s="336">
        <f>K24</f>
        <v/>
      </c>
      <c r="V24" s="245" t="inlineStr">
        <is>
          <t>14~20</t>
        </is>
      </c>
      <c r="W24" s="275">
        <f>SUM(B24,D24,F24,H24,J24)</f>
        <v/>
      </c>
      <c r="X24" s="4" t="inlineStr">
        <is>
          <t>+</t>
        </is>
      </c>
      <c r="Y24" s="276" t="n"/>
    </row>
    <row r="25">
      <c r="A25" s="245" t="n">
        <v>23</v>
      </c>
      <c r="B25" s="508" t="n">
        <v>2</v>
      </c>
      <c r="C25" s="298">
        <f>VLOOKUP(B25,オッズデータ入力!C$7:D$25,2,FALSE)</f>
        <v/>
      </c>
      <c r="D25" s="509" t="n">
        <v>2</v>
      </c>
      <c r="E25" s="307">
        <f>VLOOKUP(D25,オッズデータ入力!O$7:P$25,2,FALSE)</f>
        <v/>
      </c>
      <c r="F25" s="256" t="n"/>
      <c r="G25" s="286" t="n"/>
      <c r="H25" s="507" t="n"/>
      <c r="I25" s="312" t="n"/>
      <c r="J25" s="508" t="n">
        <v>1</v>
      </c>
      <c r="K25" s="298">
        <f>VLOOKUP(J25,オッズデータ入力!AY$7:AZ$25,2,FALSE)</f>
        <v/>
      </c>
      <c r="L25" s="275">
        <f>IF(B25&lt;=2,"A",IF(B25&lt;=5,"B",IF(B25&lt;=7,"C",IF(B25&lt;=10,"D",IF(B25&lt;=13,"E",IF(B25&lt;=16,"F",IF(B25&lt;=18,"G")))))))</f>
        <v/>
      </c>
      <c r="M25" s="4">
        <f>IF(D25&lt;=2,"A",IF(D25&lt;=5,"B",IF(D25&lt;=7,"C",IF(D25&lt;=10,"D",IF(D25&lt;=13,"E",IF(D25&lt;=16,"F",IF(D25&lt;=18,"G")))))))</f>
        <v/>
      </c>
      <c r="N25" s="316" t="n"/>
      <c r="O25" s="4" t="n"/>
      <c r="P25" s="3">
        <f>IF(J25&lt;=2,"A",IF(J25&lt;=5,"B",IF(J25&lt;=7,"C",IF(J25&lt;=10,"D",IF(J25&lt;=13,"E",IF(J25&lt;=16,"F",IF(J25&lt;=18,"G")))))))</f>
        <v/>
      </c>
      <c r="Q25" s="326">
        <f>C25</f>
        <v/>
      </c>
      <c r="R25" s="327">
        <f>E25</f>
        <v/>
      </c>
      <c r="S25" s="329" t="n"/>
      <c r="T25" s="327" t="n"/>
      <c r="U25" s="336">
        <f>K25</f>
        <v/>
      </c>
      <c r="V25" s="245" t="inlineStr">
        <is>
          <t>14~20</t>
        </is>
      </c>
      <c r="W25" s="275">
        <f>SUM(B25,D25,F25,H25,J25)</f>
        <v/>
      </c>
      <c r="X25" s="4" t="inlineStr">
        <is>
          <t>+</t>
        </is>
      </c>
      <c r="Y25" s="276" t="n"/>
    </row>
    <row r="26" ht="24.75" customHeight="1" thickBot="1">
      <c r="A26" s="249" t="n">
        <v>24</v>
      </c>
      <c r="B26" s="502" t="n">
        <v>2</v>
      </c>
      <c r="C26" s="284">
        <f>VLOOKUP(B26,オッズデータ入力!C$7:D$25,2,FALSE)</f>
        <v/>
      </c>
      <c r="D26" s="510" t="n">
        <v>2</v>
      </c>
      <c r="E26" s="308">
        <f>VLOOKUP(D26,オッズデータ入力!O$7:P$25,2,FALSE)</f>
        <v/>
      </c>
      <c r="F26" s="257" t="n"/>
      <c r="G26" s="287" t="n"/>
      <c r="H26" s="510" t="n"/>
      <c r="I26" s="313" t="n"/>
      <c r="J26" s="502" t="n">
        <v>2</v>
      </c>
      <c r="K26" s="284">
        <f>VLOOKUP(J26,オッズデータ入力!AY$7:AZ$25,2,FALSE)</f>
        <v/>
      </c>
      <c r="L26" s="277">
        <f>IF(B26&lt;=2,"A",IF(B26&lt;=5,"B",IF(B26&lt;=7,"C",IF(B26&lt;=10,"D",IF(B26&lt;=13,"E",IF(B26&lt;=16,"F",IF(B26&lt;=18,"G")))))))</f>
        <v/>
      </c>
      <c r="M26" s="260">
        <f>IF(D26&lt;=2,"A",IF(D26&lt;=5,"B",IF(D26&lt;=7,"C",IF(D26&lt;=10,"D",IF(D26&lt;=13,"E",IF(D26&lt;=16,"F",IF(D26&lt;=18,"G")))))))</f>
        <v/>
      </c>
      <c r="N26" s="317" t="n"/>
      <c r="O26" s="260" t="n"/>
      <c r="P26" s="265">
        <f>IF(J26&lt;=2,"A",IF(J26&lt;=5,"B",IF(J26&lt;=7,"C",IF(J26&lt;=10,"D",IF(J26&lt;=13,"E",IF(J26&lt;=16,"F",IF(J26&lt;=18,"G")))))))</f>
        <v/>
      </c>
      <c r="Q26" s="330">
        <f>C26</f>
        <v/>
      </c>
      <c r="R26" s="331">
        <f>E26</f>
        <v/>
      </c>
      <c r="S26" s="332" t="n"/>
      <c r="T26" s="331" t="n"/>
      <c r="U26" s="337">
        <f>K26</f>
        <v/>
      </c>
      <c r="V26" s="249" t="inlineStr">
        <is>
          <t>14~20</t>
        </is>
      </c>
      <c r="W26" s="277">
        <f>SUM(B26,D26,F26,H26,J26)</f>
        <v/>
      </c>
      <c r="X26" s="260" t="inlineStr">
        <is>
          <t>+</t>
        </is>
      </c>
      <c r="Y26" s="278" t="n"/>
    </row>
    <row r="27">
      <c r="A27" s="243" t="n">
        <v>25</v>
      </c>
      <c r="B27" s="498" t="n">
        <v>1</v>
      </c>
      <c r="C27" s="282">
        <f>VLOOKUP(B27,オッズデータ入力!C$7:D$25,2,FALSE)</f>
        <v/>
      </c>
      <c r="D27" s="293" t="n"/>
      <c r="E27" s="309" t="n"/>
      <c r="F27" s="498" t="n">
        <v>1</v>
      </c>
      <c r="G27" s="285">
        <f>VLOOKUP(F27,オッズデータ入力!AA$7:AB$25,2,FALSE)</f>
        <v/>
      </c>
      <c r="H27" s="504" t="n">
        <v>1</v>
      </c>
      <c r="I27" s="304">
        <f>VLOOKUP(H27,オッズデータ入力!AM$7:AN$25,2,FALSE)</f>
        <v/>
      </c>
      <c r="J27" s="498" t="n"/>
      <c r="K27" s="299" t="n"/>
      <c r="L27" s="273">
        <f>IF(B27&lt;=2,"A",IF(B27&lt;=5,"B",IF(B27&lt;=7,"C",IF(B27&lt;=10,"D",IF(B27&lt;=13,"E",IF(B27&lt;=16,"F",IF(B27&lt;=18,"G")))))))</f>
        <v/>
      </c>
      <c r="M27" s="259" t="n"/>
      <c r="N27" s="259">
        <f>IF(F27&lt;=2,"A",IF(F27&lt;=5,"B",IF(F27&lt;=7,"C",IF(F27&lt;=10,"D",IF(F27&lt;=13,"E",IF(F27&lt;=16,"F",IF(F27&lt;=18,"G")))))))</f>
        <v/>
      </c>
      <c r="O27" s="259">
        <f>IF(H27&lt;=2,"A",IF(H27&lt;=5,"B",IF(H27&lt;=7,"C",IF(H27&lt;=10,"D",IF(H27&lt;=13,"E",IF(H27&lt;=16,"F",IF(H27&lt;=18,"G")))))))</f>
        <v/>
      </c>
      <c r="P27" s="274" t="n"/>
      <c r="Q27" s="323">
        <f>C27</f>
        <v/>
      </c>
      <c r="R27" s="324" t="n"/>
      <c r="S27" s="324">
        <f>G27</f>
        <v/>
      </c>
      <c r="T27" s="324">
        <f>I27</f>
        <v/>
      </c>
      <c r="U27" s="325" t="n"/>
      <c r="V27" s="241" t="inlineStr">
        <is>
          <t>14~20</t>
        </is>
      </c>
      <c r="W27" s="273">
        <f>SUM(B27,D27,F27,H27,J27)</f>
        <v/>
      </c>
      <c r="X27" s="259" t="inlineStr">
        <is>
          <t>+</t>
        </is>
      </c>
      <c r="Y27" s="274" t="n"/>
    </row>
    <row r="28">
      <c r="A28" s="245" t="n">
        <v>26</v>
      </c>
      <c r="B28" s="505" t="n">
        <v>1</v>
      </c>
      <c r="C28" s="297">
        <f>VLOOKUP(B28,オッズデータ入力!C$7:D$25,2,FALSE)</f>
        <v/>
      </c>
      <c r="D28" s="294" t="n"/>
      <c r="E28" s="310" t="n"/>
      <c r="F28" s="505" t="n">
        <v>1</v>
      </c>
      <c r="G28" s="314">
        <f>VLOOKUP(F28,オッズデータ入力!AA$7:AB$25,2,FALSE)</f>
        <v/>
      </c>
      <c r="H28" s="506" t="n">
        <v>2</v>
      </c>
      <c r="I28" s="305">
        <f>VLOOKUP(H28,オッズデータ入力!AM$7:AN$25,2,FALSE)</f>
        <v/>
      </c>
      <c r="J28" s="505" t="n"/>
      <c r="K28" s="300" t="n"/>
      <c r="L28" s="275">
        <f>IF(B28&lt;=2,"A",IF(B28&lt;=5,"B",IF(B28&lt;=7,"C",IF(B28&lt;=10,"D",IF(B28&lt;=13,"E",IF(B28&lt;=16,"F",IF(B28&lt;=18,"G")))))))</f>
        <v/>
      </c>
      <c r="M28" s="4" t="n"/>
      <c r="N28" s="4">
        <f>IF(F28&lt;=2,"A",IF(F28&lt;=5,"B",IF(F28&lt;=7,"C",IF(F28&lt;=10,"D",IF(F28&lt;=13,"E",IF(F28&lt;=16,"F",IF(F28&lt;=18,"G")))))))</f>
        <v/>
      </c>
      <c r="O28" s="4">
        <f>IF(H28&lt;=2,"A",IF(H28&lt;=5,"B",IF(H28&lt;=7,"C",IF(H28&lt;=10,"D",IF(H28&lt;=13,"E",IF(H28&lt;=16,"F",IF(H28&lt;=18,"G")))))))</f>
        <v/>
      </c>
      <c r="P28" s="276" t="n"/>
      <c r="Q28" s="326">
        <f>C28</f>
        <v/>
      </c>
      <c r="R28" s="327" t="n"/>
      <c r="S28" s="327">
        <f>G28</f>
        <v/>
      </c>
      <c r="T28" s="327">
        <f>I28</f>
        <v/>
      </c>
      <c r="U28" s="328" t="n"/>
      <c r="V28" s="245" t="inlineStr">
        <is>
          <t>14~20</t>
        </is>
      </c>
      <c r="W28" s="275">
        <f>SUM(B28,D28,F28,H28,J28)</f>
        <v/>
      </c>
      <c r="X28" s="4" t="inlineStr">
        <is>
          <t>+</t>
        </is>
      </c>
      <c r="Y28" s="276" t="n"/>
    </row>
    <row r="29">
      <c r="A29" s="245" t="n">
        <v>27</v>
      </c>
      <c r="B29" s="505" t="n">
        <v>1</v>
      </c>
      <c r="C29" s="297">
        <f>VLOOKUP(B29,オッズデータ入力!C$7:D$25,2,FALSE)</f>
        <v/>
      </c>
      <c r="D29" s="294" t="n"/>
      <c r="E29" s="310" t="n"/>
      <c r="F29" s="505" t="n">
        <v>2</v>
      </c>
      <c r="G29" s="314">
        <f>VLOOKUP(F29,オッズデータ入力!AA$7:AB$25,2,FALSE)</f>
        <v/>
      </c>
      <c r="H29" s="506" t="n">
        <v>1</v>
      </c>
      <c r="I29" s="305">
        <f>VLOOKUP(H29,オッズデータ入力!AM$7:AN$25,2,FALSE)</f>
        <v/>
      </c>
      <c r="J29" s="505" t="n"/>
      <c r="K29" s="300" t="n"/>
      <c r="L29" s="275">
        <f>IF(B29&lt;=2,"A",IF(B29&lt;=5,"B",IF(B29&lt;=7,"C",IF(B29&lt;=10,"D",IF(B29&lt;=13,"E",IF(B29&lt;=16,"F",IF(B29&lt;=18,"G")))))))</f>
        <v/>
      </c>
      <c r="M29" s="4" t="n"/>
      <c r="N29" s="4">
        <f>IF(F29&lt;=2,"A",IF(F29&lt;=5,"B",IF(F29&lt;=7,"C",IF(F29&lt;=10,"D",IF(F29&lt;=13,"E",IF(F29&lt;=16,"F",IF(F29&lt;=18,"G")))))))</f>
        <v/>
      </c>
      <c r="O29" s="4">
        <f>IF(H29&lt;=2,"A",IF(H29&lt;=5,"B",IF(H29&lt;=7,"C",IF(H29&lt;=10,"D",IF(H29&lt;=13,"E",IF(H29&lt;=16,"F",IF(H29&lt;=18,"G")))))))</f>
        <v/>
      </c>
      <c r="P29" s="276" t="n"/>
      <c r="Q29" s="326">
        <f>C29</f>
        <v/>
      </c>
      <c r="R29" s="327" t="n"/>
      <c r="S29" s="327">
        <f>G29</f>
        <v/>
      </c>
      <c r="T29" s="327">
        <f>I29</f>
        <v/>
      </c>
      <c r="U29" s="328" t="n"/>
      <c r="V29" s="245" t="inlineStr">
        <is>
          <t>14~20</t>
        </is>
      </c>
      <c r="W29" s="275">
        <f>SUM(B29,D29,F29,H29,J29)</f>
        <v/>
      </c>
      <c r="X29" s="4" t="inlineStr">
        <is>
          <t>+</t>
        </is>
      </c>
      <c r="Y29" s="276" t="n"/>
    </row>
    <row r="30">
      <c r="A30" s="245" t="n">
        <v>28</v>
      </c>
      <c r="B30" s="505" t="n">
        <v>1</v>
      </c>
      <c r="C30" s="297">
        <f>VLOOKUP(B30,オッズデータ入力!C$7:D$25,2,FALSE)</f>
        <v/>
      </c>
      <c r="D30" s="294" t="n"/>
      <c r="E30" s="310" t="n"/>
      <c r="F30" s="505" t="n">
        <v>2</v>
      </c>
      <c r="G30" s="314">
        <f>VLOOKUP(F30,オッズデータ入力!AA$7:AB$25,2,FALSE)</f>
        <v/>
      </c>
      <c r="H30" s="506" t="n">
        <v>2</v>
      </c>
      <c r="I30" s="305">
        <f>VLOOKUP(H30,オッズデータ入力!AM$7:AN$25,2,FALSE)</f>
        <v/>
      </c>
      <c r="J30" s="505" t="n"/>
      <c r="K30" s="300" t="n"/>
      <c r="L30" s="275">
        <f>IF(B30&lt;=2,"A",IF(B30&lt;=5,"B",IF(B30&lt;=7,"C",IF(B30&lt;=10,"D",IF(B30&lt;=13,"E",IF(B30&lt;=16,"F",IF(B30&lt;=18,"G")))))))</f>
        <v/>
      </c>
      <c r="M30" s="4" t="n"/>
      <c r="N30" s="4">
        <f>IF(F30&lt;=2,"A",IF(F30&lt;=5,"B",IF(F30&lt;=7,"C",IF(F30&lt;=10,"D",IF(F30&lt;=13,"E",IF(F30&lt;=16,"F",IF(F30&lt;=18,"G")))))))</f>
        <v/>
      </c>
      <c r="O30" s="4">
        <f>IF(H30&lt;=2,"A",IF(H30&lt;=5,"B",IF(H30&lt;=7,"C",IF(H30&lt;=10,"D",IF(H30&lt;=13,"E",IF(H30&lt;=16,"F",IF(H30&lt;=18,"G")))))))</f>
        <v/>
      </c>
      <c r="P30" s="276" t="n"/>
      <c r="Q30" s="326">
        <f>C30</f>
        <v/>
      </c>
      <c r="R30" s="327" t="n"/>
      <c r="S30" s="327">
        <f>G30</f>
        <v/>
      </c>
      <c r="T30" s="327">
        <f>I30</f>
        <v/>
      </c>
      <c r="U30" s="328" t="n"/>
      <c r="V30" s="245" t="inlineStr">
        <is>
          <t>14~20</t>
        </is>
      </c>
      <c r="W30" s="275">
        <f>SUM(B30,D30,F30,H30,J30)</f>
        <v/>
      </c>
      <c r="X30" s="4" t="inlineStr">
        <is>
          <t>+</t>
        </is>
      </c>
      <c r="Y30" s="276" t="n"/>
    </row>
    <row r="31">
      <c r="A31" s="245" t="n">
        <v>29</v>
      </c>
      <c r="B31" s="500" t="n">
        <v>2</v>
      </c>
      <c r="C31" s="297">
        <f>VLOOKUP(B31,オッズデータ入力!C$7:D$25,2,FALSE)</f>
        <v/>
      </c>
      <c r="D31" s="294" t="n"/>
      <c r="E31" s="310" t="n"/>
      <c r="F31" s="500" t="n">
        <v>1</v>
      </c>
      <c r="G31" s="286">
        <f>VLOOKUP(F31,オッズデータ入力!AA$7:AB$25,2,FALSE)</f>
        <v/>
      </c>
      <c r="H31" s="507" t="n">
        <v>1</v>
      </c>
      <c r="I31" s="305">
        <f>VLOOKUP(H31,オッズデータ入力!AM$7:AN$25,2,FALSE)</f>
        <v/>
      </c>
      <c r="J31" s="505" t="n"/>
      <c r="K31" s="300" t="n"/>
      <c r="L31" s="275">
        <f>IF(B31&lt;=2,"A",IF(B31&lt;=5,"B",IF(B31&lt;=7,"C",IF(B31&lt;=10,"D",IF(B31&lt;=13,"E",IF(B31&lt;=16,"F",IF(B31&lt;=18,"G")))))))</f>
        <v/>
      </c>
      <c r="M31" s="4" t="n"/>
      <c r="N31" s="4">
        <f>IF(F31&lt;=2,"A",IF(F31&lt;=5,"B",IF(F31&lt;=7,"C",IF(F31&lt;=10,"D",IF(F31&lt;=13,"E",IF(F31&lt;=16,"F",IF(F31&lt;=18,"G")))))))</f>
        <v/>
      </c>
      <c r="O31" s="4">
        <f>IF(H31&lt;=2,"A",IF(H31&lt;=5,"B",IF(H31&lt;=7,"C",IF(H31&lt;=10,"D",IF(H31&lt;=13,"E",IF(H31&lt;=16,"F",IF(H31&lt;=18,"G")))))))</f>
        <v/>
      </c>
      <c r="P31" s="276" t="n"/>
      <c r="Q31" s="326">
        <f>C31</f>
        <v/>
      </c>
      <c r="R31" s="327" t="n"/>
      <c r="S31" s="327">
        <f>G31</f>
        <v/>
      </c>
      <c r="T31" s="327">
        <f>I31</f>
        <v/>
      </c>
      <c r="U31" s="328" t="n"/>
      <c r="V31" s="245" t="inlineStr">
        <is>
          <t>14~20</t>
        </is>
      </c>
      <c r="W31" s="275">
        <f>SUM(B31,D31,F31,H31,J31)</f>
        <v/>
      </c>
      <c r="X31" s="4" t="inlineStr">
        <is>
          <t>+</t>
        </is>
      </c>
      <c r="Y31" s="276" t="n"/>
    </row>
    <row r="32">
      <c r="A32" s="245" t="n">
        <v>30</v>
      </c>
      <c r="B32" s="500" t="n">
        <v>2</v>
      </c>
      <c r="C32" s="283">
        <f>VLOOKUP(B32,オッズデータ入力!C$7:D$25,2,FALSE)</f>
        <v/>
      </c>
      <c r="D32" s="295" t="n"/>
      <c r="E32" s="311" t="n"/>
      <c r="F32" s="500" t="n">
        <v>1</v>
      </c>
      <c r="G32" s="286">
        <f>VLOOKUP(F32,オッズデータ入力!AA$7:AB$25,2,FALSE)</f>
        <v/>
      </c>
      <c r="H32" s="507" t="n">
        <v>2</v>
      </c>
      <c r="I32" s="306">
        <f>VLOOKUP(H32,オッズデータ入力!AM$7:AN$25,2,FALSE)</f>
        <v/>
      </c>
      <c r="J32" s="500" t="n"/>
      <c r="K32" s="301" t="n"/>
      <c r="L32" s="275">
        <f>IF(B32&lt;=2,"A",IF(B32&lt;=5,"B",IF(B32&lt;=7,"C",IF(B32&lt;=10,"D",IF(B32&lt;=13,"E",IF(B32&lt;=16,"F",IF(B32&lt;=18,"G")))))))</f>
        <v/>
      </c>
      <c r="M32" s="4" t="n"/>
      <c r="N32" s="4">
        <f>IF(F32&lt;=2,"A",IF(F32&lt;=5,"B",IF(F32&lt;=7,"C",IF(F32&lt;=10,"D",IF(F32&lt;=13,"E",IF(F32&lt;=16,"F",IF(F32&lt;=18,"G")))))))</f>
        <v/>
      </c>
      <c r="O32" s="4">
        <f>IF(H32&lt;=2,"A",IF(H32&lt;=5,"B",IF(H32&lt;=7,"C",IF(H32&lt;=10,"D",IF(H32&lt;=13,"E",IF(H32&lt;=16,"F",IF(H32&lt;=18,"G")))))))</f>
        <v/>
      </c>
      <c r="P32" s="276" t="n"/>
      <c r="Q32" s="326">
        <f>C32</f>
        <v/>
      </c>
      <c r="R32" s="327" t="n"/>
      <c r="S32" s="327">
        <f>G32</f>
        <v/>
      </c>
      <c r="T32" s="327">
        <f>I32</f>
        <v/>
      </c>
      <c r="U32" s="328" t="n"/>
      <c r="V32" s="245" t="inlineStr">
        <is>
          <t>14~20</t>
        </is>
      </c>
      <c r="W32" s="275">
        <f>SUM(B32,D32,F32,H32,J32)</f>
        <v/>
      </c>
      <c r="X32" s="4" t="inlineStr">
        <is>
          <t>+</t>
        </is>
      </c>
      <c r="Y32" s="276" t="n"/>
    </row>
    <row r="33">
      <c r="A33" s="245" t="n">
        <v>31</v>
      </c>
      <c r="B33" s="508" t="n">
        <v>2</v>
      </c>
      <c r="C33" s="298">
        <f>VLOOKUP(B33,オッズデータ入力!C$7:D$25,2,FALSE)</f>
        <v/>
      </c>
      <c r="D33" s="295" t="n"/>
      <c r="E33" s="312" t="n"/>
      <c r="F33" s="508" t="n">
        <v>2</v>
      </c>
      <c r="G33" s="315">
        <f>VLOOKUP(F33,オッズデータ入力!AA$7:AB$25,2,FALSE)</f>
        <v/>
      </c>
      <c r="H33" s="509" t="n">
        <v>1</v>
      </c>
      <c r="I33" s="307">
        <f>VLOOKUP(H33,オッズデータ入力!AM$7:AN$25,2,FALSE)</f>
        <v/>
      </c>
      <c r="J33" s="500" t="n"/>
      <c r="K33" s="301" t="n"/>
      <c r="L33" s="275">
        <f>IF(B33&lt;=2,"A",IF(B33&lt;=5,"B",IF(B33&lt;=7,"C",IF(B33&lt;=10,"D",IF(B33&lt;=13,"E",IF(B33&lt;=16,"F",IF(B33&lt;=18,"G")))))))</f>
        <v/>
      </c>
      <c r="M33" s="4" t="n"/>
      <c r="N33" s="4">
        <f>IF(F33&lt;=2,"A",IF(F33&lt;=5,"B",IF(F33&lt;=7,"C",IF(F33&lt;=10,"D",IF(F33&lt;=13,"E",IF(F33&lt;=16,"F",IF(F33&lt;=18,"G")))))))</f>
        <v/>
      </c>
      <c r="O33" s="4">
        <f>IF(H33&lt;=2,"A",IF(H33&lt;=5,"B",IF(H33&lt;=7,"C",IF(H33&lt;=10,"D",IF(H33&lt;=13,"E",IF(H33&lt;=16,"F",IF(H33&lt;=18,"G")))))))</f>
        <v/>
      </c>
      <c r="P33" s="276" t="n"/>
      <c r="Q33" s="326">
        <f>C33</f>
        <v/>
      </c>
      <c r="R33" s="327" t="n"/>
      <c r="S33" s="327">
        <f>G33</f>
        <v/>
      </c>
      <c r="T33" s="327">
        <f>I33</f>
        <v/>
      </c>
      <c r="U33" s="328" t="n"/>
      <c r="V33" s="245" t="inlineStr">
        <is>
          <t>14~20</t>
        </is>
      </c>
      <c r="W33" s="275">
        <f>SUM(B33,D33,F33,H33,J33)</f>
        <v/>
      </c>
      <c r="X33" s="4" t="inlineStr">
        <is>
          <t>+</t>
        </is>
      </c>
      <c r="Y33" s="276" t="n"/>
    </row>
    <row r="34" ht="24.75" customHeight="1" thickBot="1">
      <c r="A34" s="247" t="n">
        <v>32</v>
      </c>
      <c r="B34" s="502" t="n">
        <v>2</v>
      </c>
      <c r="C34" s="284">
        <f>VLOOKUP(B34,オッズデータ入力!C$7:D$25,2,FALSE)</f>
        <v/>
      </c>
      <c r="D34" s="296" t="n"/>
      <c r="E34" s="313" t="n"/>
      <c r="F34" s="502" t="n">
        <v>2</v>
      </c>
      <c r="G34" s="287">
        <f>VLOOKUP(F34,オッズデータ入力!AA$7:AB$25,2,FALSE)</f>
        <v/>
      </c>
      <c r="H34" s="510" t="n">
        <v>2</v>
      </c>
      <c r="I34" s="308">
        <f>VLOOKUP(H34,オッズデータ入力!AM$7:AN$25,2,FALSE)</f>
        <v/>
      </c>
      <c r="J34" s="502" t="n"/>
      <c r="K34" s="303" t="n"/>
      <c r="L34" s="277">
        <f>IF(B34&lt;=2,"A",IF(B34&lt;=5,"B",IF(B34&lt;=7,"C",IF(B34&lt;=10,"D",IF(B34&lt;=13,"E",IF(B34&lt;=16,"F",IF(B34&lt;=18,"G")))))))</f>
        <v/>
      </c>
      <c r="M34" s="260" t="n"/>
      <c r="N34" s="260">
        <f>IF(F34&lt;=2,"A",IF(F34&lt;=5,"B",IF(F34&lt;=7,"C",IF(F34&lt;=10,"D",IF(F34&lt;=13,"E",IF(F34&lt;=16,"F",IF(F34&lt;=18,"G")))))))</f>
        <v/>
      </c>
      <c r="O34" s="260">
        <f>IF(H34&lt;=2,"A",IF(H34&lt;=5,"B",IF(H34&lt;=7,"C",IF(H34&lt;=10,"D",IF(H34&lt;=13,"E",IF(H34&lt;=16,"F",IF(H34&lt;=18,"G")))))))</f>
        <v/>
      </c>
      <c r="P34" s="278" t="n"/>
      <c r="Q34" s="330">
        <f>C34</f>
        <v/>
      </c>
      <c r="R34" s="331" t="n"/>
      <c r="S34" s="331">
        <f>G34</f>
        <v/>
      </c>
      <c r="T34" s="331">
        <f>I34</f>
        <v/>
      </c>
      <c r="U34" s="333" t="n"/>
      <c r="V34" s="249" t="inlineStr">
        <is>
          <t>14~20</t>
        </is>
      </c>
      <c r="W34" s="277">
        <f>SUM(B34,D34,F34,H34,J34)</f>
        <v/>
      </c>
      <c r="X34" s="260" t="inlineStr">
        <is>
          <t>+</t>
        </is>
      </c>
      <c r="Y34" s="278" t="n"/>
    </row>
    <row r="35">
      <c r="A35" s="241" t="n">
        <v>33</v>
      </c>
      <c r="B35" s="498" t="n">
        <v>1</v>
      </c>
      <c r="C35" s="282">
        <f>VLOOKUP(B35,オッズデータ入力!C$7:D$25,2,FALSE)</f>
        <v/>
      </c>
      <c r="D35" s="504" t="n"/>
      <c r="E35" s="309" t="n"/>
      <c r="F35" s="498" t="n">
        <v>1</v>
      </c>
      <c r="G35" s="285">
        <f>VLOOKUP(F35,オッズデータ入力!AA$7:AB$25,2,FALSE)</f>
        <v/>
      </c>
      <c r="H35" s="504" t="n"/>
      <c r="I35" s="309" t="n"/>
      <c r="J35" s="498" t="n">
        <v>1</v>
      </c>
      <c r="K35" s="282">
        <f>VLOOKUP(J35,オッズデータ入力!AY$7:AZ$25,2,FALSE)</f>
        <v/>
      </c>
      <c r="L35" s="273">
        <f>IF(B35&lt;=2,"A",IF(B35&lt;=5,"B",IF(B35&lt;=7,"C",IF(B35&lt;=10,"D",IF(B35&lt;=13,"E",IF(B35&lt;=16,"F",IF(B35&lt;=18,"G")))))))</f>
        <v/>
      </c>
      <c r="M35" s="259" t="n"/>
      <c r="N35" s="259">
        <f>IF(F35&lt;=2,"A",IF(F35&lt;=5,"B",IF(F35&lt;=7,"C",IF(F35&lt;=10,"D",IF(F35&lt;=13,"E",IF(F35&lt;=16,"F",IF(F35&lt;=18,"G")))))))</f>
        <v/>
      </c>
      <c r="O35" s="259" t="n"/>
      <c r="P35" s="264">
        <f>IF(J35&lt;=2,"A",IF(J35&lt;=5,"B",IF(J35&lt;=7,"C",IF(J35&lt;=10,"D",IF(J35&lt;=13,"E",IF(J35&lt;=16,"F",IF(J35&lt;=18,"G")))))))</f>
        <v/>
      </c>
      <c r="Q35" s="323">
        <f>C35</f>
        <v/>
      </c>
      <c r="R35" s="324" t="n"/>
      <c r="S35" s="324">
        <f>G35</f>
        <v/>
      </c>
      <c r="T35" s="324" t="n"/>
      <c r="U35" s="335">
        <f>K35</f>
        <v/>
      </c>
      <c r="V35" s="241" t="inlineStr">
        <is>
          <t>14~20</t>
        </is>
      </c>
      <c r="W35" s="273">
        <f>SUM(B35,D35,F35,H35,J35)</f>
        <v/>
      </c>
      <c r="X35" s="259" t="inlineStr">
        <is>
          <t>+</t>
        </is>
      </c>
      <c r="Y35" s="274" t="n"/>
    </row>
    <row r="36">
      <c r="A36" s="245" t="n">
        <v>34</v>
      </c>
      <c r="B36" s="505" t="n">
        <v>1</v>
      </c>
      <c r="C36" s="297">
        <f>VLOOKUP(B36,オッズデータ入力!C$7:D$25,2,FALSE)</f>
        <v/>
      </c>
      <c r="D36" s="506" t="n"/>
      <c r="E36" s="310" t="n"/>
      <c r="F36" s="505" t="n">
        <v>1</v>
      </c>
      <c r="G36" s="314">
        <f>VLOOKUP(F36,オッズデータ入力!AA$7:AB$25,2,FALSE)</f>
        <v/>
      </c>
      <c r="H36" s="506" t="n"/>
      <c r="I36" s="310" t="n"/>
      <c r="J36" s="505" t="n">
        <v>2</v>
      </c>
      <c r="K36" s="297">
        <f>VLOOKUP(J36,オッズデータ入力!AY$7:AZ$25,2,FALSE)</f>
        <v/>
      </c>
      <c r="L36" s="275">
        <f>IF(B36&lt;=2,"A",IF(B36&lt;=5,"B",IF(B36&lt;=7,"C",IF(B36&lt;=10,"D",IF(B36&lt;=13,"E",IF(B36&lt;=16,"F",IF(B36&lt;=18,"G")))))))</f>
        <v/>
      </c>
      <c r="M36" s="4" t="n"/>
      <c r="N36" s="4">
        <f>IF(F36&lt;=2,"A",IF(F36&lt;=5,"B",IF(F36&lt;=7,"C",IF(F36&lt;=10,"D",IF(F36&lt;=13,"E",IF(F36&lt;=16,"F",IF(F36&lt;=18,"G")))))))</f>
        <v/>
      </c>
      <c r="O36" s="4" t="n"/>
      <c r="P36" s="3">
        <f>IF(J36&lt;=2,"A",IF(J36&lt;=5,"B",IF(J36&lt;=7,"C",IF(J36&lt;=10,"D",IF(J36&lt;=13,"E",IF(J36&lt;=16,"F",IF(J36&lt;=18,"G")))))))</f>
        <v/>
      </c>
      <c r="Q36" s="326">
        <f>C36</f>
        <v/>
      </c>
      <c r="R36" s="327" t="n"/>
      <c r="S36" s="327">
        <f>G36</f>
        <v/>
      </c>
      <c r="T36" s="327" t="n"/>
      <c r="U36" s="336">
        <f>K36</f>
        <v/>
      </c>
      <c r="V36" s="245" t="inlineStr">
        <is>
          <t>14~20</t>
        </is>
      </c>
      <c r="W36" s="275">
        <f>SUM(B36,D36,F36,H36,J36)</f>
        <v/>
      </c>
      <c r="X36" s="4" t="inlineStr">
        <is>
          <t>+</t>
        </is>
      </c>
      <c r="Y36" s="276" t="n"/>
    </row>
    <row r="37">
      <c r="A37" s="245" t="n">
        <v>35</v>
      </c>
      <c r="B37" s="505" t="n">
        <v>1</v>
      </c>
      <c r="C37" s="297">
        <f>VLOOKUP(B37,オッズデータ入力!C$7:D$25,2,FALSE)</f>
        <v/>
      </c>
      <c r="D37" s="506" t="n"/>
      <c r="E37" s="310" t="n"/>
      <c r="F37" s="505" t="n">
        <v>2</v>
      </c>
      <c r="G37" s="314">
        <f>VLOOKUP(F37,オッズデータ入力!AA$7:AB$25,2,FALSE)</f>
        <v/>
      </c>
      <c r="H37" s="506" t="n"/>
      <c r="I37" s="310" t="n"/>
      <c r="J37" s="505" t="n">
        <v>1</v>
      </c>
      <c r="K37" s="297">
        <f>VLOOKUP(J37,オッズデータ入力!AY$7:AZ$25,2,FALSE)</f>
        <v/>
      </c>
      <c r="L37" s="275">
        <f>IF(B37&lt;=2,"A",IF(B37&lt;=5,"B",IF(B37&lt;=7,"C",IF(B37&lt;=10,"D",IF(B37&lt;=13,"E",IF(B37&lt;=16,"F",IF(B37&lt;=18,"G")))))))</f>
        <v/>
      </c>
      <c r="M37" s="4" t="n"/>
      <c r="N37" s="4">
        <f>IF(F37&lt;=2,"A",IF(F37&lt;=5,"B",IF(F37&lt;=7,"C",IF(F37&lt;=10,"D",IF(F37&lt;=13,"E",IF(F37&lt;=16,"F",IF(F37&lt;=18,"G")))))))</f>
        <v/>
      </c>
      <c r="O37" s="4" t="n"/>
      <c r="P37" s="3">
        <f>IF(J37&lt;=2,"A",IF(J37&lt;=5,"B",IF(J37&lt;=7,"C",IF(J37&lt;=10,"D",IF(J37&lt;=13,"E",IF(J37&lt;=16,"F",IF(J37&lt;=18,"G")))))))</f>
        <v/>
      </c>
      <c r="Q37" s="326">
        <f>C37</f>
        <v/>
      </c>
      <c r="R37" s="327" t="n"/>
      <c r="S37" s="327">
        <f>G37</f>
        <v/>
      </c>
      <c r="T37" s="327" t="n"/>
      <c r="U37" s="336">
        <f>K37</f>
        <v/>
      </c>
      <c r="V37" s="245" t="inlineStr">
        <is>
          <t>14~20</t>
        </is>
      </c>
      <c r="W37" s="275">
        <f>SUM(B37,D37,F37,H37,J37)</f>
        <v/>
      </c>
      <c r="X37" s="4" t="inlineStr">
        <is>
          <t>+</t>
        </is>
      </c>
      <c r="Y37" s="276" t="n"/>
    </row>
    <row r="38">
      <c r="A38" s="245" t="n">
        <v>36</v>
      </c>
      <c r="B38" s="505" t="n">
        <v>1</v>
      </c>
      <c r="C38" s="297">
        <f>VLOOKUP(B38,オッズデータ入力!C$7:D$25,2,FALSE)</f>
        <v/>
      </c>
      <c r="D38" s="506" t="n"/>
      <c r="E38" s="310" t="n"/>
      <c r="F38" s="505" t="n">
        <v>2</v>
      </c>
      <c r="G38" s="314">
        <f>VLOOKUP(F38,オッズデータ入力!AA$7:AB$25,2,FALSE)</f>
        <v/>
      </c>
      <c r="H38" s="506" t="n"/>
      <c r="I38" s="310" t="n"/>
      <c r="J38" s="505" t="n">
        <v>2</v>
      </c>
      <c r="K38" s="297">
        <f>VLOOKUP(J38,オッズデータ入力!AY$7:AZ$25,2,FALSE)</f>
        <v/>
      </c>
      <c r="L38" s="275">
        <f>IF(B38&lt;=2,"A",IF(B38&lt;=5,"B",IF(B38&lt;=7,"C",IF(B38&lt;=10,"D",IF(B38&lt;=13,"E",IF(B38&lt;=16,"F",IF(B38&lt;=18,"G")))))))</f>
        <v/>
      </c>
      <c r="M38" s="4" t="n"/>
      <c r="N38" s="4">
        <f>IF(F38&lt;=2,"A",IF(F38&lt;=5,"B",IF(F38&lt;=7,"C",IF(F38&lt;=10,"D",IF(F38&lt;=13,"E",IF(F38&lt;=16,"F",IF(F38&lt;=18,"G")))))))</f>
        <v/>
      </c>
      <c r="O38" s="4" t="n"/>
      <c r="P38" s="3">
        <f>IF(J38&lt;=2,"A",IF(J38&lt;=5,"B",IF(J38&lt;=7,"C",IF(J38&lt;=10,"D",IF(J38&lt;=13,"E",IF(J38&lt;=16,"F",IF(J38&lt;=18,"G")))))))</f>
        <v/>
      </c>
      <c r="Q38" s="326">
        <f>C38</f>
        <v/>
      </c>
      <c r="R38" s="327" t="n"/>
      <c r="S38" s="327">
        <f>G38</f>
        <v/>
      </c>
      <c r="T38" s="327" t="n"/>
      <c r="U38" s="336">
        <f>K38</f>
        <v/>
      </c>
      <c r="V38" s="245" t="inlineStr">
        <is>
          <t>14~20</t>
        </is>
      </c>
      <c r="W38" s="275">
        <f>SUM(B38,D38,F38,H38,J38)</f>
        <v/>
      </c>
      <c r="X38" s="4" t="inlineStr">
        <is>
          <t>+</t>
        </is>
      </c>
      <c r="Y38" s="276" t="n"/>
    </row>
    <row r="39">
      <c r="A39" s="245" t="n">
        <v>37</v>
      </c>
      <c r="B39" s="500" t="n">
        <v>2</v>
      </c>
      <c r="C39" s="297">
        <f>VLOOKUP(B39,オッズデータ入力!C$7:D$25,2,FALSE)</f>
        <v/>
      </c>
      <c r="D39" s="506" t="n"/>
      <c r="E39" s="310" t="n"/>
      <c r="F39" s="500" t="n">
        <v>1</v>
      </c>
      <c r="G39" s="314">
        <f>VLOOKUP(F39,オッズデータ入力!AA$7:AB$25,2,FALSE)</f>
        <v/>
      </c>
      <c r="H39" s="506" t="n"/>
      <c r="I39" s="310" t="n"/>
      <c r="J39" s="500" t="n">
        <v>1</v>
      </c>
      <c r="K39" s="297">
        <f>VLOOKUP(J39,オッズデータ入力!AY$7:AZ$25,2,FALSE)</f>
        <v/>
      </c>
      <c r="L39" s="275">
        <f>IF(B39&lt;=2,"A",IF(B39&lt;=5,"B",IF(B39&lt;=7,"C",IF(B39&lt;=10,"D",IF(B39&lt;=13,"E",IF(B39&lt;=16,"F",IF(B39&lt;=18,"G")))))))</f>
        <v/>
      </c>
      <c r="M39" s="4" t="n"/>
      <c r="N39" s="4">
        <f>IF(F39&lt;=2,"A",IF(F39&lt;=5,"B",IF(F39&lt;=7,"C",IF(F39&lt;=10,"D",IF(F39&lt;=13,"E",IF(F39&lt;=16,"F",IF(F39&lt;=18,"G")))))))</f>
        <v/>
      </c>
      <c r="O39" s="4" t="n"/>
      <c r="P39" s="3">
        <f>IF(J39&lt;=2,"A",IF(J39&lt;=5,"B",IF(J39&lt;=7,"C",IF(J39&lt;=10,"D",IF(J39&lt;=13,"E",IF(J39&lt;=16,"F",IF(J39&lt;=18,"G")))))))</f>
        <v/>
      </c>
      <c r="Q39" s="326">
        <f>C39</f>
        <v/>
      </c>
      <c r="R39" s="327" t="n"/>
      <c r="S39" s="327">
        <f>G39</f>
        <v/>
      </c>
      <c r="T39" s="327" t="n"/>
      <c r="U39" s="336">
        <f>K39</f>
        <v/>
      </c>
      <c r="V39" s="245" t="inlineStr">
        <is>
          <t>14~20</t>
        </is>
      </c>
      <c r="W39" s="275">
        <f>SUM(B39,D39,F39,H39,J39)</f>
        <v/>
      </c>
      <c r="X39" s="4" t="inlineStr">
        <is>
          <t>+</t>
        </is>
      </c>
      <c r="Y39" s="276" t="n"/>
    </row>
    <row r="40">
      <c r="A40" s="245" t="n">
        <v>38</v>
      </c>
      <c r="B40" s="500" t="n">
        <v>2</v>
      </c>
      <c r="C40" s="283">
        <f>VLOOKUP(B40,オッズデータ入力!C$7:D$25,2,FALSE)</f>
        <v/>
      </c>
      <c r="D40" s="507" t="n"/>
      <c r="E40" s="311" t="n"/>
      <c r="F40" s="500" t="n">
        <v>1</v>
      </c>
      <c r="G40" s="286">
        <f>VLOOKUP(F40,オッズデータ入力!AA$7:AB$25,2,FALSE)</f>
        <v/>
      </c>
      <c r="H40" s="507" t="n"/>
      <c r="I40" s="311" t="n"/>
      <c r="J40" s="500" t="n">
        <v>2</v>
      </c>
      <c r="K40" s="283">
        <f>VLOOKUP(J40,オッズデータ入力!AY$7:AZ$25,2,FALSE)</f>
        <v/>
      </c>
      <c r="L40" s="275">
        <f>IF(B40&lt;=2,"A",IF(B40&lt;=5,"B",IF(B40&lt;=7,"C",IF(B40&lt;=10,"D",IF(B40&lt;=13,"E",IF(B40&lt;=16,"F",IF(B40&lt;=18,"G")))))))</f>
        <v/>
      </c>
      <c r="M40" s="4" t="n"/>
      <c r="N40" s="4">
        <f>IF(F40&lt;=2,"A",IF(F40&lt;=5,"B",IF(F40&lt;=7,"C",IF(F40&lt;=10,"D",IF(F40&lt;=13,"E",IF(F40&lt;=16,"F",IF(F40&lt;=18,"G")))))))</f>
        <v/>
      </c>
      <c r="O40" s="4" t="n"/>
      <c r="P40" s="3">
        <f>IF(J40&lt;=2,"A",IF(J40&lt;=5,"B",IF(J40&lt;=7,"C",IF(J40&lt;=10,"D",IF(J40&lt;=13,"E",IF(J40&lt;=16,"F",IF(J40&lt;=18,"G")))))))</f>
        <v/>
      </c>
      <c r="Q40" s="326">
        <f>C40</f>
        <v/>
      </c>
      <c r="R40" s="327" t="n"/>
      <c r="S40" s="327">
        <f>G40</f>
        <v/>
      </c>
      <c r="T40" s="327" t="n"/>
      <c r="U40" s="336">
        <f>K40</f>
        <v/>
      </c>
      <c r="V40" s="245" t="inlineStr">
        <is>
          <t>14~20</t>
        </is>
      </c>
      <c r="W40" s="275">
        <f>SUM(B40,D40,F40,H40,J40)</f>
        <v/>
      </c>
      <c r="X40" s="4" t="inlineStr">
        <is>
          <t>+</t>
        </is>
      </c>
      <c r="Y40" s="276" t="n"/>
    </row>
    <row r="41">
      <c r="A41" s="245" t="n">
        <v>39</v>
      </c>
      <c r="B41" s="508" t="n">
        <v>2</v>
      </c>
      <c r="C41" s="298">
        <f>VLOOKUP(B41,オッズデータ入力!C$7:D$25,2,FALSE)</f>
        <v/>
      </c>
      <c r="D41" s="507" t="n"/>
      <c r="E41" s="312" t="n"/>
      <c r="F41" s="508" t="n">
        <v>2</v>
      </c>
      <c r="G41" s="315">
        <f>VLOOKUP(F41,オッズデータ入力!AA$7:AB$25,2,FALSE)</f>
        <v/>
      </c>
      <c r="H41" s="507" t="n"/>
      <c r="I41" s="312" t="n"/>
      <c r="J41" s="508" t="n">
        <v>1</v>
      </c>
      <c r="K41" s="298">
        <f>VLOOKUP(J41,オッズデータ入力!AY$7:AZ$25,2,FALSE)</f>
        <v/>
      </c>
      <c r="L41" s="275">
        <f>IF(B41&lt;=2,"A",IF(B41&lt;=5,"B",IF(B41&lt;=7,"C",IF(B41&lt;=10,"D",IF(B41&lt;=13,"E",IF(B41&lt;=16,"F",IF(B41&lt;=18,"G")))))))</f>
        <v/>
      </c>
      <c r="M41" s="4" t="n"/>
      <c r="N41" s="4">
        <f>IF(F41&lt;=2,"A",IF(F41&lt;=5,"B",IF(F41&lt;=7,"C",IF(F41&lt;=10,"D",IF(F41&lt;=13,"E",IF(F41&lt;=16,"F",IF(F41&lt;=18,"G")))))))</f>
        <v/>
      </c>
      <c r="O41" s="4" t="n"/>
      <c r="P41" s="3">
        <f>IF(J41&lt;=2,"A",IF(J41&lt;=5,"B",IF(J41&lt;=7,"C",IF(J41&lt;=10,"D",IF(J41&lt;=13,"E",IF(J41&lt;=16,"F",IF(J41&lt;=18,"G")))))))</f>
        <v/>
      </c>
      <c r="Q41" s="326">
        <f>C41</f>
        <v/>
      </c>
      <c r="R41" s="327" t="n"/>
      <c r="S41" s="327">
        <f>G41</f>
        <v/>
      </c>
      <c r="T41" s="327" t="n"/>
      <c r="U41" s="336">
        <f>K41</f>
        <v/>
      </c>
      <c r="V41" s="245" t="inlineStr">
        <is>
          <t>14~20</t>
        </is>
      </c>
      <c r="W41" s="275">
        <f>SUM(B41,D41,F41,H41,J41)</f>
        <v/>
      </c>
      <c r="X41" s="4" t="inlineStr">
        <is>
          <t>+</t>
        </is>
      </c>
      <c r="Y41" s="276" t="n"/>
    </row>
    <row r="42" ht="24.75" customHeight="1" thickBot="1">
      <c r="A42" s="249" t="n">
        <v>40</v>
      </c>
      <c r="B42" s="502" t="n">
        <v>2</v>
      </c>
      <c r="C42" s="284">
        <f>VLOOKUP(B42,オッズデータ入力!C$7:D$25,2,FALSE)</f>
        <v/>
      </c>
      <c r="D42" s="510" t="n"/>
      <c r="E42" s="313" t="n"/>
      <c r="F42" s="502" t="n">
        <v>2</v>
      </c>
      <c r="G42" s="287">
        <f>VLOOKUP(F42,オッズデータ入力!AA$7:AB$25,2,FALSE)</f>
        <v/>
      </c>
      <c r="H42" s="510" t="n"/>
      <c r="I42" s="313" t="n"/>
      <c r="J42" s="502" t="n">
        <v>2</v>
      </c>
      <c r="K42" s="284">
        <f>VLOOKUP(J42,オッズデータ入力!AY$7:AZ$25,2,FALSE)</f>
        <v/>
      </c>
      <c r="L42" s="277">
        <f>IF(B42&lt;=2,"A",IF(B42&lt;=5,"B",IF(B42&lt;=7,"C",IF(B42&lt;=10,"D",IF(B42&lt;=13,"E",IF(B42&lt;=16,"F",IF(B42&lt;=18,"G")))))))</f>
        <v/>
      </c>
      <c r="M42" s="260" t="n"/>
      <c r="N42" s="260">
        <f>IF(F42&lt;=2,"A",IF(F42&lt;=5,"B",IF(F42&lt;=7,"C",IF(F42&lt;=10,"D",IF(F42&lt;=13,"E",IF(F42&lt;=16,"F",IF(F42&lt;=18,"G")))))))</f>
        <v/>
      </c>
      <c r="O42" s="260" t="n"/>
      <c r="P42" s="265">
        <f>IF(J42&lt;=2,"A",IF(J42&lt;=5,"B",IF(J42&lt;=7,"C",IF(J42&lt;=10,"D",IF(J42&lt;=13,"E",IF(J42&lt;=16,"F",IF(J42&lt;=18,"G")))))))</f>
        <v/>
      </c>
      <c r="Q42" s="330">
        <f>C42</f>
        <v/>
      </c>
      <c r="R42" s="331" t="n"/>
      <c r="S42" s="331">
        <f>G42</f>
        <v/>
      </c>
      <c r="T42" s="331" t="n"/>
      <c r="U42" s="337">
        <f>K42</f>
        <v/>
      </c>
      <c r="V42" s="249" t="inlineStr">
        <is>
          <t>14~20</t>
        </is>
      </c>
      <c r="W42" s="277">
        <f>SUM(B42,D42,F42,H42,J42)</f>
        <v/>
      </c>
      <c r="X42" s="260" t="inlineStr">
        <is>
          <t>+</t>
        </is>
      </c>
      <c r="Y42" s="278" t="n"/>
    </row>
    <row r="43">
      <c r="A43" s="243" t="n">
        <v>41</v>
      </c>
      <c r="B43" s="498" t="n">
        <v>1</v>
      </c>
      <c r="C43" s="282">
        <f>VLOOKUP(B43,オッズデータ入力!C$7:D$25,2,FALSE)</f>
        <v/>
      </c>
      <c r="D43" s="504" t="n"/>
      <c r="E43" s="309" t="n"/>
      <c r="F43" s="498" t="n"/>
      <c r="G43" s="285" t="n"/>
      <c r="H43" s="504" t="n">
        <v>1</v>
      </c>
      <c r="I43" s="304">
        <f>VLOOKUP(H43,オッズデータ入力!AM$7:AN$25,2,FALSE)</f>
        <v/>
      </c>
      <c r="J43" s="498" t="n">
        <v>1</v>
      </c>
      <c r="K43" s="282">
        <f>VLOOKUP(J43,オッズデータ入力!AY$7:AZ$25,2,FALSE)</f>
        <v/>
      </c>
      <c r="L43" s="273">
        <f>IF(B43&lt;=2,"A",IF(B43&lt;=5,"B",IF(B43&lt;=7,"C",IF(B43&lt;=10,"D",IF(B43&lt;=13,"E",IF(B43&lt;=16,"F",IF(B43&lt;=18,"G")))))))</f>
        <v/>
      </c>
      <c r="M43" s="259" t="n"/>
      <c r="N43" s="259" t="n"/>
      <c r="O43" s="259">
        <f>IF(H43&lt;=2,"A",IF(H43&lt;=5,"B",IF(H43&lt;=7,"C",IF(H43&lt;=10,"D",IF(H43&lt;=13,"E",IF(H43&lt;=16,"F",IF(H43&lt;=18,"G")))))))</f>
        <v/>
      </c>
      <c r="P43" s="264">
        <f>IF(J43&lt;=2,"A",IF(J43&lt;=5,"B",IF(J43&lt;=7,"C",IF(J43&lt;=10,"D",IF(J43&lt;=13,"E",IF(J43&lt;=16,"F",IF(J43&lt;=18,"G")))))))</f>
        <v/>
      </c>
      <c r="Q43" s="323">
        <f>C43</f>
        <v/>
      </c>
      <c r="R43" s="324" t="n"/>
      <c r="S43" s="324" t="n"/>
      <c r="T43" s="324">
        <f>I43</f>
        <v/>
      </c>
      <c r="U43" s="335">
        <f>K43</f>
        <v/>
      </c>
      <c r="V43" s="241" t="inlineStr">
        <is>
          <t>14~20</t>
        </is>
      </c>
      <c r="W43" s="273">
        <f>SUM(B43,D43,F43,H43,J43)</f>
        <v/>
      </c>
      <c r="X43" s="259" t="inlineStr">
        <is>
          <t>+</t>
        </is>
      </c>
      <c r="Y43" s="274" t="n"/>
    </row>
    <row r="44">
      <c r="A44" s="245" t="n">
        <v>42</v>
      </c>
      <c r="B44" s="505" t="n">
        <v>1</v>
      </c>
      <c r="C44" s="297">
        <f>VLOOKUP(B44,オッズデータ入力!C$7:D$25,2,FALSE)</f>
        <v/>
      </c>
      <c r="D44" s="506" t="n"/>
      <c r="E44" s="310" t="n"/>
      <c r="F44" s="505" t="n"/>
      <c r="G44" s="314" t="n"/>
      <c r="H44" s="506" t="n">
        <v>1</v>
      </c>
      <c r="I44" s="305">
        <f>VLOOKUP(H44,オッズデータ入力!AM$7:AN$25,2,FALSE)</f>
        <v/>
      </c>
      <c r="J44" s="505" t="n">
        <v>2</v>
      </c>
      <c r="K44" s="297">
        <f>VLOOKUP(J44,オッズデータ入力!AY$7:AZ$25,2,FALSE)</f>
        <v/>
      </c>
      <c r="L44" s="275">
        <f>IF(B44&lt;=2,"A",IF(B44&lt;=5,"B",IF(B44&lt;=7,"C",IF(B44&lt;=10,"D",IF(B44&lt;=13,"E",IF(B44&lt;=16,"F",IF(B44&lt;=18,"G")))))))</f>
        <v/>
      </c>
      <c r="M44" s="4" t="n"/>
      <c r="N44" s="4" t="n"/>
      <c r="O44" s="4">
        <f>IF(H44&lt;=2,"A",IF(H44&lt;=5,"B",IF(H44&lt;=7,"C",IF(H44&lt;=10,"D",IF(H44&lt;=13,"E",IF(H44&lt;=16,"F",IF(H44&lt;=18,"G")))))))</f>
        <v/>
      </c>
      <c r="P44" s="3">
        <f>IF(J44&lt;=2,"A",IF(J44&lt;=5,"B",IF(J44&lt;=7,"C",IF(J44&lt;=10,"D",IF(J44&lt;=13,"E",IF(J44&lt;=16,"F",IF(J44&lt;=18,"G")))))))</f>
        <v/>
      </c>
      <c r="Q44" s="326">
        <f>C44</f>
        <v/>
      </c>
      <c r="R44" s="327" t="n"/>
      <c r="S44" s="327" t="n"/>
      <c r="T44" s="327">
        <f>I44</f>
        <v/>
      </c>
      <c r="U44" s="336">
        <f>K44</f>
        <v/>
      </c>
      <c r="V44" s="245" t="inlineStr">
        <is>
          <t>14~20</t>
        </is>
      </c>
      <c r="W44" s="275">
        <f>SUM(B44,D44,F44,H44,J44)</f>
        <v/>
      </c>
      <c r="X44" s="4" t="inlineStr">
        <is>
          <t>+</t>
        </is>
      </c>
      <c r="Y44" s="276" t="n"/>
    </row>
    <row r="45">
      <c r="A45" s="245" t="n">
        <v>43</v>
      </c>
      <c r="B45" s="505" t="n">
        <v>1</v>
      </c>
      <c r="C45" s="297">
        <f>VLOOKUP(B45,オッズデータ入力!C$7:D$25,2,FALSE)</f>
        <v/>
      </c>
      <c r="D45" s="506" t="n"/>
      <c r="E45" s="310" t="n"/>
      <c r="F45" s="505" t="n"/>
      <c r="G45" s="314" t="n"/>
      <c r="H45" s="506" t="n">
        <v>2</v>
      </c>
      <c r="I45" s="305">
        <f>VLOOKUP(H45,オッズデータ入力!AM$7:AN$25,2,FALSE)</f>
        <v/>
      </c>
      <c r="J45" s="505" t="n">
        <v>1</v>
      </c>
      <c r="K45" s="297">
        <f>VLOOKUP(J45,オッズデータ入力!AY$7:AZ$25,2,FALSE)</f>
        <v/>
      </c>
      <c r="L45" s="275">
        <f>IF(B45&lt;=2,"A",IF(B45&lt;=5,"B",IF(B45&lt;=7,"C",IF(B45&lt;=10,"D",IF(B45&lt;=13,"E",IF(B45&lt;=16,"F",IF(B45&lt;=18,"G")))))))</f>
        <v/>
      </c>
      <c r="M45" s="4" t="n"/>
      <c r="N45" s="4" t="n"/>
      <c r="O45" s="4">
        <f>IF(H45&lt;=2,"A",IF(H45&lt;=5,"B",IF(H45&lt;=7,"C",IF(H45&lt;=10,"D",IF(H45&lt;=13,"E",IF(H45&lt;=16,"F",IF(H45&lt;=18,"G")))))))</f>
        <v/>
      </c>
      <c r="P45" s="3">
        <f>IF(J45&lt;=2,"A",IF(J45&lt;=5,"B",IF(J45&lt;=7,"C",IF(J45&lt;=10,"D",IF(J45&lt;=13,"E",IF(J45&lt;=16,"F",IF(J45&lt;=18,"G")))))))</f>
        <v/>
      </c>
      <c r="Q45" s="326">
        <f>C45</f>
        <v/>
      </c>
      <c r="R45" s="327" t="n"/>
      <c r="S45" s="327" t="n"/>
      <c r="T45" s="327">
        <f>I45</f>
        <v/>
      </c>
      <c r="U45" s="336">
        <f>K45</f>
        <v/>
      </c>
      <c r="V45" s="245" t="inlineStr">
        <is>
          <t>14~20</t>
        </is>
      </c>
      <c r="W45" s="275">
        <f>SUM(B45,D45,F45,H45,J45)</f>
        <v/>
      </c>
      <c r="X45" s="4" t="inlineStr">
        <is>
          <t>+</t>
        </is>
      </c>
      <c r="Y45" s="276" t="n"/>
    </row>
    <row r="46">
      <c r="A46" s="245" t="n">
        <v>44</v>
      </c>
      <c r="B46" s="505" t="n">
        <v>1</v>
      </c>
      <c r="C46" s="297">
        <f>VLOOKUP(B46,オッズデータ入力!C$7:D$25,2,FALSE)</f>
        <v/>
      </c>
      <c r="D46" s="506" t="n"/>
      <c r="E46" s="310" t="n"/>
      <c r="F46" s="505" t="n"/>
      <c r="G46" s="314" t="n"/>
      <c r="H46" s="506" t="n">
        <v>2</v>
      </c>
      <c r="I46" s="305">
        <f>VLOOKUP(H46,オッズデータ入力!AM$7:AN$25,2,FALSE)</f>
        <v/>
      </c>
      <c r="J46" s="505" t="n">
        <v>2</v>
      </c>
      <c r="K46" s="297">
        <f>VLOOKUP(J46,オッズデータ入力!AY$7:AZ$25,2,FALSE)</f>
        <v/>
      </c>
      <c r="L46" s="275">
        <f>IF(B46&lt;=2,"A",IF(B46&lt;=5,"B",IF(B46&lt;=7,"C",IF(B46&lt;=10,"D",IF(B46&lt;=13,"E",IF(B46&lt;=16,"F",IF(B46&lt;=18,"G")))))))</f>
        <v/>
      </c>
      <c r="M46" s="4" t="n"/>
      <c r="N46" s="4" t="n"/>
      <c r="O46" s="4">
        <f>IF(H46&lt;=2,"A",IF(H46&lt;=5,"B",IF(H46&lt;=7,"C",IF(H46&lt;=10,"D",IF(H46&lt;=13,"E",IF(H46&lt;=16,"F",IF(H46&lt;=18,"G")))))))</f>
        <v/>
      </c>
      <c r="P46" s="3">
        <f>IF(J46&lt;=2,"A",IF(J46&lt;=5,"B",IF(J46&lt;=7,"C",IF(J46&lt;=10,"D",IF(J46&lt;=13,"E",IF(J46&lt;=16,"F",IF(J46&lt;=18,"G")))))))</f>
        <v/>
      </c>
      <c r="Q46" s="326">
        <f>C46</f>
        <v/>
      </c>
      <c r="R46" s="327" t="n"/>
      <c r="S46" s="327" t="n"/>
      <c r="T46" s="327">
        <f>I46</f>
        <v/>
      </c>
      <c r="U46" s="336">
        <f>K46</f>
        <v/>
      </c>
      <c r="V46" s="245" t="inlineStr">
        <is>
          <t>14~20</t>
        </is>
      </c>
      <c r="W46" s="275">
        <f>SUM(B46,D46,F46,H46,J46)</f>
        <v/>
      </c>
      <c r="X46" s="4" t="inlineStr">
        <is>
          <t>+</t>
        </is>
      </c>
      <c r="Y46" s="276" t="n"/>
    </row>
    <row r="47">
      <c r="A47" s="245" t="n">
        <v>45</v>
      </c>
      <c r="B47" s="500" t="n">
        <v>2</v>
      </c>
      <c r="C47" s="297">
        <f>VLOOKUP(B47,オッズデータ入力!C$7:D$25,2,FALSE)</f>
        <v/>
      </c>
      <c r="D47" s="506" t="n"/>
      <c r="E47" s="310" t="n"/>
      <c r="F47" s="505" t="n"/>
      <c r="G47" s="314" t="n"/>
      <c r="H47" s="507" t="n">
        <v>1</v>
      </c>
      <c r="I47" s="306">
        <f>VLOOKUP(H47,オッズデータ入力!AM$7:AN$25,2,FALSE)</f>
        <v/>
      </c>
      <c r="J47" s="500" t="n">
        <v>1</v>
      </c>
      <c r="K47" s="297">
        <f>VLOOKUP(J47,オッズデータ入力!AY$7:AZ$25,2,FALSE)</f>
        <v/>
      </c>
      <c r="L47" s="275">
        <f>IF(B47&lt;=2,"A",IF(B47&lt;=5,"B",IF(B47&lt;=7,"C",IF(B47&lt;=10,"D",IF(B47&lt;=13,"E",IF(B47&lt;=16,"F",IF(B47&lt;=18,"G")))))))</f>
        <v/>
      </c>
      <c r="M47" s="4" t="n"/>
      <c r="N47" s="4" t="n"/>
      <c r="O47" s="4">
        <f>IF(H47&lt;=2,"A",IF(H47&lt;=5,"B",IF(H47&lt;=7,"C",IF(H47&lt;=10,"D",IF(H47&lt;=13,"E",IF(H47&lt;=16,"F",IF(H47&lt;=18,"G")))))))</f>
        <v/>
      </c>
      <c r="P47" s="3">
        <f>IF(J47&lt;=2,"A",IF(J47&lt;=5,"B",IF(J47&lt;=7,"C",IF(J47&lt;=10,"D",IF(J47&lt;=13,"E",IF(J47&lt;=16,"F",IF(J47&lt;=18,"G")))))))</f>
        <v/>
      </c>
      <c r="Q47" s="326">
        <f>C47</f>
        <v/>
      </c>
      <c r="R47" s="327" t="n"/>
      <c r="S47" s="327" t="n"/>
      <c r="T47" s="327">
        <f>I47</f>
        <v/>
      </c>
      <c r="U47" s="336">
        <f>K47</f>
        <v/>
      </c>
      <c r="V47" s="245" t="inlineStr">
        <is>
          <t>14~20</t>
        </is>
      </c>
      <c r="W47" s="275">
        <f>SUM(B47,D47,F47,H47,J47)</f>
        <v/>
      </c>
      <c r="X47" s="4" t="inlineStr">
        <is>
          <t>+</t>
        </is>
      </c>
      <c r="Y47" s="276" t="n"/>
    </row>
    <row r="48">
      <c r="A48" s="245" t="n">
        <v>46</v>
      </c>
      <c r="B48" s="500" t="n">
        <v>2</v>
      </c>
      <c r="C48" s="283">
        <f>VLOOKUP(B48,オッズデータ入力!C$7:D$25,2,FALSE)</f>
        <v/>
      </c>
      <c r="D48" s="507" t="n"/>
      <c r="E48" s="311" t="n"/>
      <c r="F48" s="500" t="n"/>
      <c r="G48" s="286" t="n"/>
      <c r="H48" s="507" t="n">
        <v>1</v>
      </c>
      <c r="I48" s="306">
        <f>VLOOKUP(H48,オッズデータ入力!AM$7:AN$25,2,FALSE)</f>
        <v/>
      </c>
      <c r="J48" s="500" t="n">
        <v>2</v>
      </c>
      <c r="K48" s="283">
        <f>VLOOKUP(J48,オッズデータ入力!AY$7:AZ$25,2,FALSE)</f>
        <v/>
      </c>
      <c r="L48" s="275">
        <f>IF(B48&lt;=2,"A",IF(B48&lt;=5,"B",IF(B48&lt;=7,"C",IF(B48&lt;=10,"D",IF(B48&lt;=13,"E",IF(B48&lt;=16,"F",IF(B48&lt;=18,"G")))))))</f>
        <v/>
      </c>
      <c r="M48" s="4" t="n"/>
      <c r="N48" s="4" t="n"/>
      <c r="O48" s="4">
        <f>IF(H48&lt;=2,"A",IF(H48&lt;=5,"B",IF(H48&lt;=7,"C",IF(H48&lt;=10,"D",IF(H48&lt;=13,"E",IF(H48&lt;=16,"F",IF(H48&lt;=18,"G")))))))</f>
        <v/>
      </c>
      <c r="P48" s="3">
        <f>IF(J48&lt;=2,"A",IF(J48&lt;=5,"B",IF(J48&lt;=7,"C",IF(J48&lt;=10,"D",IF(J48&lt;=13,"E",IF(J48&lt;=16,"F",IF(J48&lt;=18,"G")))))))</f>
        <v/>
      </c>
      <c r="Q48" s="326">
        <f>C48</f>
        <v/>
      </c>
      <c r="R48" s="327" t="n"/>
      <c r="S48" s="327" t="n"/>
      <c r="T48" s="327">
        <f>I48</f>
        <v/>
      </c>
      <c r="U48" s="336">
        <f>K48</f>
        <v/>
      </c>
      <c r="V48" s="245" t="inlineStr">
        <is>
          <t>14~20</t>
        </is>
      </c>
      <c r="W48" s="275">
        <f>SUM(B48,D48,F48,H48,J48)</f>
        <v/>
      </c>
      <c r="X48" s="4" t="inlineStr">
        <is>
          <t>+</t>
        </is>
      </c>
      <c r="Y48" s="276" t="n"/>
    </row>
    <row r="49">
      <c r="A49" s="245" t="n">
        <v>47</v>
      </c>
      <c r="B49" s="508" t="n">
        <v>2</v>
      </c>
      <c r="C49" s="298">
        <f>VLOOKUP(B49,オッズデータ入力!C$7:D$25,2,FALSE)</f>
        <v/>
      </c>
      <c r="D49" s="507" t="n"/>
      <c r="E49" s="311" t="n"/>
      <c r="F49" s="500" t="n"/>
      <c r="G49" s="315" t="n"/>
      <c r="H49" s="509" t="n">
        <v>2</v>
      </c>
      <c r="I49" s="307">
        <f>VLOOKUP(H49,オッズデータ入力!AM$7:AN$25,2,FALSE)</f>
        <v/>
      </c>
      <c r="J49" s="508" t="n">
        <v>1</v>
      </c>
      <c r="K49" s="298">
        <f>VLOOKUP(J49,オッズデータ入力!AY$7:AZ$25,2,FALSE)</f>
        <v/>
      </c>
      <c r="L49" s="275">
        <f>IF(B49&lt;=2,"A",IF(B49&lt;=5,"B",IF(B49&lt;=7,"C",IF(B49&lt;=10,"D",IF(B49&lt;=13,"E",IF(B49&lt;=16,"F",IF(B49&lt;=18,"G")))))))</f>
        <v/>
      </c>
      <c r="M49" s="4" t="n"/>
      <c r="N49" s="4" t="n"/>
      <c r="O49" s="4">
        <f>IF(H49&lt;=2,"A",IF(H49&lt;=5,"B",IF(H49&lt;=7,"C",IF(H49&lt;=10,"D",IF(H49&lt;=13,"E",IF(H49&lt;=16,"F",IF(H49&lt;=18,"G")))))))</f>
        <v/>
      </c>
      <c r="P49" s="3">
        <f>IF(J49&lt;=2,"A",IF(J49&lt;=5,"B",IF(J49&lt;=7,"C",IF(J49&lt;=10,"D",IF(J49&lt;=13,"E",IF(J49&lt;=16,"F",IF(J49&lt;=18,"G")))))))</f>
        <v/>
      </c>
      <c r="Q49" s="326">
        <f>C49</f>
        <v/>
      </c>
      <c r="R49" s="327" t="n"/>
      <c r="S49" s="327" t="n"/>
      <c r="T49" s="327">
        <f>I49</f>
        <v/>
      </c>
      <c r="U49" s="336">
        <f>K49</f>
        <v/>
      </c>
      <c r="V49" s="245" t="inlineStr">
        <is>
          <t>14~20</t>
        </is>
      </c>
      <c r="W49" s="275">
        <f>SUM(B49,D49,F49,H49,J49)</f>
        <v/>
      </c>
      <c r="X49" s="4" t="inlineStr">
        <is>
          <t>+</t>
        </is>
      </c>
      <c r="Y49" s="276" t="n"/>
    </row>
    <row r="50" ht="24.75" customHeight="1" thickBot="1">
      <c r="A50" s="247" t="n">
        <v>48</v>
      </c>
      <c r="B50" s="502" t="n">
        <v>2</v>
      </c>
      <c r="C50" s="284">
        <f>VLOOKUP(B50,オッズデータ入力!C$7:D$25,2,FALSE)</f>
        <v/>
      </c>
      <c r="D50" s="510" t="n"/>
      <c r="E50" s="313" t="n"/>
      <c r="F50" s="502" t="n"/>
      <c r="G50" s="287" t="n"/>
      <c r="H50" s="510" t="n">
        <v>2</v>
      </c>
      <c r="I50" s="308">
        <f>VLOOKUP(H50,オッズデータ入力!AM$7:AN$25,2,FALSE)</f>
        <v/>
      </c>
      <c r="J50" s="502" t="n">
        <v>2</v>
      </c>
      <c r="K50" s="284">
        <f>VLOOKUP(J50,オッズデータ入力!AY$7:AZ$25,2,FALSE)</f>
        <v/>
      </c>
      <c r="L50" s="277">
        <f>IF(B50&lt;=2,"A",IF(B50&lt;=5,"B",IF(B50&lt;=7,"C",IF(B50&lt;=10,"D",IF(B50&lt;=13,"E",IF(B50&lt;=16,"F",IF(B50&lt;=18,"G")))))))</f>
        <v/>
      </c>
      <c r="M50" s="260" t="n"/>
      <c r="N50" s="260" t="n"/>
      <c r="O50" s="260">
        <f>IF(H50&lt;=2,"A",IF(H50&lt;=5,"B",IF(H50&lt;=7,"C",IF(H50&lt;=10,"D",IF(H50&lt;=13,"E",IF(H50&lt;=16,"F",IF(H50&lt;=18,"G")))))))</f>
        <v/>
      </c>
      <c r="P50" s="265">
        <f>IF(J50&lt;=2,"A",IF(J50&lt;=5,"B",IF(J50&lt;=7,"C",IF(J50&lt;=10,"D",IF(J50&lt;=13,"E",IF(J50&lt;=16,"F",IF(J50&lt;=18,"G")))))))</f>
        <v/>
      </c>
      <c r="Q50" s="330">
        <f>C50</f>
        <v/>
      </c>
      <c r="R50" s="331" t="n"/>
      <c r="S50" s="331" t="n"/>
      <c r="T50" s="331">
        <f>I50</f>
        <v/>
      </c>
      <c r="U50" s="337">
        <f>K50</f>
        <v/>
      </c>
      <c r="V50" s="249" t="inlineStr">
        <is>
          <t>14~20</t>
        </is>
      </c>
      <c r="W50" s="277">
        <f>SUM(B50,D50,F50,H50,J50)</f>
        <v/>
      </c>
      <c r="X50" s="260" t="inlineStr">
        <is>
          <t>+</t>
        </is>
      </c>
      <c r="Y50" s="278" t="n"/>
    </row>
    <row r="51">
      <c r="A51" s="241" t="n">
        <v>49</v>
      </c>
      <c r="B51" s="511" t="n"/>
      <c r="C51" s="299" t="n"/>
      <c r="D51" s="504" t="n">
        <v>1</v>
      </c>
      <c r="E51" s="304">
        <f>VLOOKUP(D51,オッズデータ入力!O$7:P$25,2,FALSE)</f>
        <v/>
      </c>
      <c r="F51" s="498" t="n">
        <v>1</v>
      </c>
      <c r="G51" s="285">
        <f>VLOOKUP(F51,オッズデータ入力!AA$7:AB$25,2,FALSE)</f>
        <v/>
      </c>
      <c r="H51" s="504" t="n">
        <v>1</v>
      </c>
      <c r="I51" s="304">
        <f>VLOOKUP(H51,オッズデータ入力!AM$7:AN$25,2,FALSE)</f>
        <v/>
      </c>
      <c r="J51" s="498" t="n"/>
      <c r="K51" s="299" t="n"/>
      <c r="L51" s="273" t="n"/>
      <c r="M51" s="259">
        <f>IF(D51&lt;=2,"A",IF(D51&lt;=5,"B",IF(D51&lt;=7,"C",IF(D51&lt;=10,"D",IF(D51&lt;=13,"E",IF(D51&lt;=16,"F",IF(D51&lt;=18,"G")))))))</f>
        <v/>
      </c>
      <c r="N51" s="259">
        <f>IF(F51&lt;=2,"A",IF(F51&lt;=5,"B",IF(F51&lt;=7,"C",IF(F51&lt;=10,"D",IF(F51&lt;=13,"E",IF(F51&lt;=16,"F",IF(F51&lt;=18,"G")))))))</f>
        <v/>
      </c>
      <c r="O51" s="259">
        <f>IF(H51&lt;=2,"A",IF(H51&lt;=5,"B",IF(H51&lt;=7,"C",IF(H51&lt;=10,"D",IF(H51&lt;=13,"E",IF(H51&lt;=16,"F",IF(H51&lt;=18,"G")))))))</f>
        <v/>
      </c>
      <c r="P51" s="264" t="n"/>
      <c r="Q51" s="323" t="n"/>
      <c r="R51" s="324">
        <f>E51</f>
        <v/>
      </c>
      <c r="S51" s="324">
        <f>G51</f>
        <v/>
      </c>
      <c r="T51" s="324">
        <f>I51</f>
        <v/>
      </c>
      <c r="U51" s="335" t="n"/>
      <c r="V51" s="241" t="inlineStr">
        <is>
          <t>14~20</t>
        </is>
      </c>
      <c r="W51" s="273">
        <f>SUM(B51,D51,F51,H51,J51)</f>
        <v/>
      </c>
      <c r="X51" s="259" t="inlineStr">
        <is>
          <t>+</t>
        </is>
      </c>
      <c r="Y51" s="274" t="n"/>
    </row>
    <row r="52">
      <c r="A52" s="245" t="n">
        <v>50</v>
      </c>
      <c r="B52" s="512" t="n"/>
      <c r="C52" s="300" t="n"/>
      <c r="D52" s="506" t="n">
        <v>1</v>
      </c>
      <c r="E52" s="305">
        <f>VLOOKUP(D52,オッズデータ入力!O$7:P$25,2,FALSE)</f>
        <v/>
      </c>
      <c r="F52" s="505" t="n">
        <v>1</v>
      </c>
      <c r="G52" s="314">
        <f>VLOOKUP(F52,オッズデータ入力!AA$7:AB$25,2,FALSE)</f>
        <v/>
      </c>
      <c r="H52" s="506" t="n">
        <v>2</v>
      </c>
      <c r="I52" s="305">
        <f>VLOOKUP(H52,オッズデータ入力!AM$7:AN$25,2,FALSE)</f>
        <v/>
      </c>
      <c r="J52" s="505" t="n"/>
      <c r="K52" s="300" t="n"/>
      <c r="L52" s="275" t="n"/>
      <c r="M52" s="4">
        <f>IF(D52&lt;=2,"A",IF(D52&lt;=5,"B",IF(D52&lt;=7,"C",IF(D52&lt;=10,"D",IF(D52&lt;=13,"E",IF(D52&lt;=16,"F",IF(D52&lt;=18,"G")))))))</f>
        <v/>
      </c>
      <c r="N52" s="4">
        <f>IF(F52&lt;=2,"A",IF(F52&lt;=5,"B",IF(F52&lt;=7,"C",IF(F52&lt;=10,"D",IF(F52&lt;=13,"E",IF(F52&lt;=16,"F",IF(F52&lt;=18,"G")))))))</f>
        <v/>
      </c>
      <c r="O52" s="4">
        <f>IF(H52&lt;=2,"A",IF(H52&lt;=5,"B",IF(H52&lt;=7,"C",IF(H52&lt;=10,"D",IF(H52&lt;=13,"E",IF(H52&lt;=16,"F",IF(H52&lt;=18,"G")))))))</f>
        <v/>
      </c>
      <c r="P52" s="3" t="n"/>
      <c r="Q52" s="326" t="n"/>
      <c r="R52" s="327">
        <f>E52</f>
        <v/>
      </c>
      <c r="S52" s="327">
        <f>G52</f>
        <v/>
      </c>
      <c r="T52" s="327">
        <f>I52</f>
        <v/>
      </c>
      <c r="U52" s="336" t="n"/>
      <c r="V52" s="245" t="inlineStr">
        <is>
          <t>14~20</t>
        </is>
      </c>
      <c r="W52" s="275">
        <f>SUM(B52,D52,F52,H52,J52)</f>
        <v/>
      </c>
      <c r="X52" s="4" t="inlineStr">
        <is>
          <t>+</t>
        </is>
      </c>
      <c r="Y52" s="276" t="n"/>
    </row>
    <row r="53">
      <c r="A53" s="245" t="n">
        <v>51</v>
      </c>
      <c r="B53" s="512" t="n"/>
      <c r="C53" s="300" t="n"/>
      <c r="D53" s="506" t="n">
        <v>1</v>
      </c>
      <c r="E53" s="305">
        <f>VLOOKUP(D53,オッズデータ入力!O$7:P$25,2,FALSE)</f>
        <v/>
      </c>
      <c r="F53" s="505" t="n">
        <v>2</v>
      </c>
      <c r="G53" s="314">
        <f>VLOOKUP(F53,オッズデータ入力!AA$7:AB$25,2,FALSE)</f>
        <v/>
      </c>
      <c r="H53" s="506" t="n">
        <v>1</v>
      </c>
      <c r="I53" s="305">
        <f>VLOOKUP(H53,オッズデータ入力!AM$7:AN$25,2,FALSE)</f>
        <v/>
      </c>
      <c r="J53" s="505" t="n"/>
      <c r="K53" s="300" t="n"/>
      <c r="L53" s="275" t="n"/>
      <c r="M53" s="4">
        <f>IF(D53&lt;=2,"A",IF(D53&lt;=5,"B",IF(D53&lt;=7,"C",IF(D53&lt;=10,"D",IF(D53&lt;=13,"E",IF(D53&lt;=16,"F",IF(D53&lt;=18,"G")))))))</f>
        <v/>
      </c>
      <c r="N53" s="4">
        <f>IF(F53&lt;=2,"A",IF(F53&lt;=5,"B",IF(F53&lt;=7,"C",IF(F53&lt;=10,"D",IF(F53&lt;=13,"E",IF(F53&lt;=16,"F",IF(F53&lt;=18,"G")))))))</f>
        <v/>
      </c>
      <c r="O53" s="4">
        <f>IF(H53&lt;=2,"A",IF(H53&lt;=5,"B",IF(H53&lt;=7,"C",IF(H53&lt;=10,"D",IF(H53&lt;=13,"E",IF(H53&lt;=16,"F",IF(H53&lt;=18,"G")))))))</f>
        <v/>
      </c>
      <c r="P53" s="3" t="n"/>
      <c r="Q53" s="326" t="n"/>
      <c r="R53" s="327">
        <f>E53</f>
        <v/>
      </c>
      <c r="S53" s="327">
        <f>G53</f>
        <v/>
      </c>
      <c r="T53" s="327">
        <f>I53</f>
        <v/>
      </c>
      <c r="U53" s="336" t="n"/>
      <c r="V53" s="245" t="inlineStr">
        <is>
          <t>14~20</t>
        </is>
      </c>
      <c r="W53" s="275">
        <f>SUM(B53,D53,F53,H53,J53)</f>
        <v/>
      </c>
      <c r="X53" s="4" t="inlineStr">
        <is>
          <t>+</t>
        </is>
      </c>
      <c r="Y53" s="276" t="n"/>
    </row>
    <row r="54">
      <c r="A54" s="245" t="n">
        <v>52</v>
      </c>
      <c r="B54" s="512" t="n"/>
      <c r="C54" s="300" t="n"/>
      <c r="D54" s="506" t="n">
        <v>1</v>
      </c>
      <c r="E54" s="305">
        <f>VLOOKUP(D54,オッズデータ入力!O$7:P$25,2,FALSE)</f>
        <v/>
      </c>
      <c r="F54" s="505" t="n">
        <v>2</v>
      </c>
      <c r="G54" s="314">
        <f>VLOOKUP(F54,オッズデータ入力!AA$7:AB$25,2,FALSE)</f>
        <v/>
      </c>
      <c r="H54" s="506" t="n">
        <v>2</v>
      </c>
      <c r="I54" s="305">
        <f>VLOOKUP(H54,オッズデータ入力!AM$7:AN$25,2,FALSE)</f>
        <v/>
      </c>
      <c r="J54" s="505" t="n"/>
      <c r="K54" s="300" t="n"/>
      <c r="L54" s="275" t="n"/>
      <c r="M54" s="4">
        <f>IF(D54&lt;=2,"A",IF(D54&lt;=5,"B",IF(D54&lt;=7,"C",IF(D54&lt;=10,"D",IF(D54&lt;=13,"E",IF(D54&lt;=16,"F",IF(D54&lt;=18,"G")))))))</f>
        <v/>
      </c>
      <c r="N54" s="4">
        <f>IF(F54&lt;=2,"A",IF(F54&lt;=5,"B",IF(F54&lt;=7,"C",IF(F54&lt;=10,"D",IF(F54&lt;=13,"E",IF(F54&lt;=16,"F",IF(F54&lt;=18,"G")))))))</f>
        <v/>
      </c>
      <c r="O54" s="4">
        <f>IF(H54&lt;=2,"A",IF(H54&lt;=5,"B",IF(H54&lt;=7,"C",IF(H54&lt;=10,"D",IF(H54&lt;=13,"E",IF(H54&lt;=16,"F",IF(H54&lt;=18,"G")))))))</f>
        <v/>
      </c>
      <c r="P54" s="3" t="n"/>
      <c r="Q54" s="326" t="n"/>
      <c r="R54" s="327">
        <f>E54</f>
        <v/>
      </c>
      <c r="S54" s="327">
        <f>G54</f>
        <v/>
      </c>
      <c r="T54" s="327">
        <f>I54</f>
        <v/>
      </c>
      <c r="U54" s="336" t="n"/>
      <c r="V54" s="245" t="inlineStr">
        <is>
          <t>14~20</t>
        </is>
      </c>
      <c r="W54" s="275">
        <f>SUM(B54,D54,F54,H54,J54)</f>
        <v/>
      </c>
      <c r="X54" s="4" t="inlineStr">
        <is>
          <t>+</t>
        </is>
      </c>
      <c r="Y54" s="276" t="n"/>
    </row>
    <row r="55">
      <c r="A55" s="245" t="n">
        <v>53</v>
      </c>
      <c r="B55" s="512" t="n"/>
      <c r="C55" s="300" t="n"/>
      <c r="D55" s="507" t="n">
        <v>2</v>
      </c>
      <c r="E55" s="306">
        <f>VLOOKUP(D55,オッズデータ入力!O$7:P$25,2,FALSE)</f>
        <v/>
      </c>
      <c r="F55" s="500" t="n">
        <v>1</v>
      </c>
      <c r="G55" s="286">
        <f>VLOOKUP(F55,オッズデータ入力!AA$7:AB$25,2,FALSE)</f>
        <v/>
      </c>
      <c r="H55" s="507" t="n">
        <v>1</v>
      </c>
      <c r="I55" s="305">
        <f>VLOOKUP(H55,オッズデータ入力!AM$7:AN$25,2,FALSE)</f>
        <v/>
      </c>
      <c r="J55" s="505" t="n"/>
      <c r="K55" s="300" t="n"/>
      <c r="L55" s="275" t="n"/>
      <c r="M55" s="4">
        <f>IF(D55&lt;=2,"A",IF(D55&lt;=5,"B",IF(D55&lt;=7,"C",IF(D55&lt;=10,"D",IF(D55&lt;=13,"E",IF(D55&lt;=16,"F",IF(D55&lt;=18,"G")))))))</f>
        <v/>
      </c>
      <c r="N55" s="4">
        <f>IF(F55&lt;=2,"A",IF(F55&lt;=5,"B",IF(F55&lt;=7,"C",IF(F55&lt;=10,"D",IF(F55&lt;=13,"E",IF(F55&lt;=16,"F",IF(F55&lt;=18,"G")))))))</f>
        <v/>
      </c>
      <c r="O55" s="4">
        <f>IF(H55&lt;=2,"A",IF(H55&lt;=5,"B",IF(H55&lt;=7,"C",IF(H55&lt;=10,"D",IF(H55&lt;=13,"E",IF(H55&lt;=16,"F",IF(H55&lt;=18,"G")))))))</f>
        <v/>
      </c>
      <c r="P55" s="3" t="n"/>
      <c r="Q55" s="326" t="n"/>
      <c r="R55" s="327">
        <f>E55</f>
        <v/>
      </c>
      <c r="S55" s="327">
        <f>G55</f>
        <v/>
      </c>
      <c r="T55" s="327">
        <f>I55</f>
        <v/>
      </c>
      <c r="U55" s="336" t="n"/>
      <c r="V55" s="245" t="inlineStr">
        <is>
          <t>14~20</t>
        </is>
      </c>
      <c r="W55" s="275">
        <f>SUM(B55,D55,F55,H55,J55)</f>
        <v/>
      </c>
      <c r="X55" s="4" t="inlineStr">
        <is>
          <t>+</t>
        </is>
      </c>
      <c r="Y55" s="276" t="n"/>
    </row>
    <row r="56">
      <c r="A56" s="245" t="n">
        <v>54</v>
      </c>
      <c r="B56" s="513" t="n"/>
      <c r="C56" s="301" t="n"/>
      <c r="D56" s="507" t="n">
        <v>2</v>
      </c>
      <c r="E56" s="306">
        <f>VLOOKUP(D56,オッズデータ入力!O$7:P$25,2,FALSE)</f>
        <v/>
      </c>
      <c r="F56" s="500" t="n">
        <v>1</v>
      </c>
      <c r="G56" s="286">
        <f>VLOOKUP(F56,オッズデータ入力!AA$7:AB$25,2,FALSE)</f>
        <v/>
      </c>
      <c r="H56" s="507" t="n">
        <v>2</v>
      </c>
      <c r="I56" s="306">
        <f>VLOOKUP(H56,オッズデータ入力!AM$7:AN$25,2,FALSE)</f>
        <v/>
      </c>
      <c r="J56" s="500" t="n"/>
      <c r="K56" s="301" t="n"/>
      <c r="L56" s="275" t="n"/>
      <c r="M56" s="4">
        <f>IF(D56&lt;=2,"A",IF(D56&lt;=5,"B",IF(D56&lt;=7,"C",IF(D56&lt;=10,"D",IF(D56&lt;=13,"E",IF(D56&lt;=16,"F",IF(D56&lt;=18,"G")))))))</f>
        <v/>
      </c>
      <c r="N56" s="4">
        <f>IF(F56&lt;=2,"A",IF(F56&lt;=5,"B",IF(F56&lt;=7,"C",IF(F56&lt;=10,"D",IF(F56&lt;=13,"E",IF(F56&lt;=16,"F",IF(F56&lt;=18,"G")))))))</f>
        <v/>
      </c>
      <c r="O56" s="4">
        <f>IF(H56&lt;=2,"A",IF(H56&lt;=5,"B",IF(H56&lt;=7,"C",IF(H56&lt;=10,"D",IF(H56&lt;=13,"E",IF(H56&lt;=16,"F",IF(H56&lt;=18,"G")))))))</f>
        <v/>
      </c>
      <c r="P56" s="3" t="n"/>
      <c r="Q56" s="326" t="n"/>
      <c r="R56" s="327">
        <f>E56</f>
        <v/>
      </c>
      <c r="S56" s="327">
        <f>G56</f>
        <v/>
      </c>
      <c r="T56" s="327">
        <f>I56</f>
        <v/>
      </c>
      <c r="U56" s="336" t="n"/>
      <c r="V56" s="245" t="inlineStr">
        <is>
          <t>14~20</t>
        </is>
      </c>
      <c r="W56" s="275">
        <f>SUM(B56,D56,F56,H56,J56)</f>
        <v/>
      </c>
      <c r="X56" s="4" t="inlineStr">
        <is>
          <t>+</t>
        </is>
      </c>
      <c r="Y56" s="276" t="n"/>
    </row>
    <row r="57">
      <c r="A57" s="245" t="n">
        <v>55</v>
      </c>
      <c r="B57" s="513" t="n"/>
      <c r="C57" s="302" t="n"/>
      <c r="D57" s="509" t="n">
        <v>2</v>
      </c>
      <c r="E57" s="307">
        <f>VLOOKUP(D57,オッズデータ入力!O$7:P$25,2,FALSE)</f>
        <v/>
      </c>
      <c r="F57" s="508" t="n">
        <v>2</v>
      </c>
      <c r="G57" s="315">
        <f>VLOOKUP(F57,オッズデータ入力!AA$7:AB$25,2,FALSE)</f>
        <v/>
      </c>
      <c r="H57" s="509" t="n">
        <v>1</v>
      </c>
      <c r="I57" s="307">
        <f>VLOOKUP(H57,オッズデータ入力!AM$7:AN$25,2,FALSE)</f>
        <v/>
      </c>
      <c r="J57" s="500" t="n"/>
      <c r="K57" s="301" t="n"/>
      <c r="L57" s="275" t="n"/>
      <c r="M57" s="4">
        <f>IF(D57&lt;=2,"A",IF(D57&lt;=5,"B",IF(D57&lt;=7,"C",IF(D57&lt;=10,"D",IF(D57&lt;=13,"E",IF(D57&lt;=16,"F",IF(D57&lt;=18,"G")))))))</f>
        <v/>
      </c>
      <c r="N57" s="4">
        <f>IF(F57&lt;=2,"A",IF(F57&lt;=5,"B",IF(F57&lt;=7,"C",IF(F57&lt;=10,"D",IF(F57&lt;=13,"E",IF(F57&lt;=16,"F",IF(F57&lt;=18,"G")))))))</f>
        <v/>
      </c>
      <c r="O57" s="4">
        <f>IF(H57&lt;=2,"A",IF(H57&lt;=5,"B",IF(H57&lt;=7,"C",IF(H57&lt;=10,"D",IF(H57&lt;=13,"E",IF(H57&lt;=16,"F",IF(H57&lt;=18,"G")))))))</f>
        <v/>
      </c>
      <c r="P57" s="3" t="n"/>
      <c r="Q57" s="326" t="n"/>
      <c r="R57" s="327">
        <f>E57</f>
        <v/>
      </c>
      <c r="S57" s="327">
        <f>G57</f>
        <v/>
      </c>
      <c r="T57" s="327">
        <f>I57</f>
        <v/>
      </c>
      <c r="U57" s="336" t="n"/>
      <c r="V57" s="245" t="inlineStr">
        <is>
          <t>14~20</t>
        </is>
      </c>
      <c r="W57" s="275">
        <f>SUM(B57,D57,F57,H57,J57)</f>
        <v/>
      </c>
      <c r="X57" s="4" t="inlineStr">
        <is>
          <t>+</t>
        </is>
      </c>
      <c r="Y57" s="276" t="n"/>
    </row>
    <row r="58" ht="24.75" customHeight="1" thickBot="1">
      <c r="A58" s="249" t="n">
        <v>56</v>
      </c>
      <c r="B58" s="514" t="n"/>
      <c r="C58" s="303" t="n"/>
      <c r="D58" s="510" t="n">
        <v>2</v>
      </c>
      <c r="E58" s="308">
        <f>VLOOKUP(D58,オッズデータ入力!O$7:P$25,2,FALSE)</f>
        <v/>
      </c>
      <c r="F58" s="502" t="n">
        <v>2</v>
      </c>
      <c r="G58" s="287">
        <f>VLOOKUP(F58,オッズデータ入力!AA$7:AB$25,2,FALSE)</f>
        <v/>
      </c>
      <c r="H58" s="510" t="n">
        <v>2</v>
      </c>
      <c r="I58" s="308">
        <f>VLOOKUP(H58,オッズデータ入力!AM$7:AN$25,2,FALSE)</f>
        <v/>
      </c>
      <c r="J58" s="502" t="n"/>
      <c r="K58" s="303" t="n"/>
      <c r="L58" s="277" t="n"/>
      <c r="M58" s="260">
        <f>IF(D58&lt;=2,"A",IF(D58&lt;=5,"B",IF(D58&lt;=7,"C",IF(D58&lt;=10,"D",IF(D58&lt;=13,"E",IF(D58&lt;=16,"F",IF(D58&lt;=18,"G")))))))</f>
        <v/>
      </c>
      <c r="N58" s="260">
        <f>IF(F58&lt;=2,"A",IF(F58&lt;=5,"B",IF(F58&lt;=7,"C",IF(F58&lt;=10,"D",IF(F58&lt;=13,"E",IF(F58&lt;=16,"F",IF(F58&lt;=18,"G")))))))</f>
        <v/>
      </c>
      <c r="O58" s="260">
        <f>IF(H58&lt;=2,"A",IF(H58&lt;=5,"B",IF(H58&lt;=7,"C",IF(H58&lt;=10,"D",IF(H58&lt;=13,"E",IF(H58&lt;=16,"F",IF(H58&lt;=18,"G")))))))</f>
        <v/>
      </c>
      <c r="P58" s="265" t="n"/>
      <c r="Q58" s="330" t="n"/>
      <c r="R58" s="331">
        <f>E58</f>
        <v/>
      </c>
      <c r="S58" s="331">
        <f>G58</f>
        <v/>
      </c>
      <c r="T58" s="331">
        <f>I58</f>
        <v/>
      </c>
      <c r="U58" s="337" t="n"/>
      <c r="V58" s="249" t="inlineStr">
        <is>
          <t>14~20</t>
        </is>
      </c>
      <c r="W58" s="277">
        <f>SUM(B58,D58,F58,H58,J58)</f>
        <v/>
      </c>
      <c r="X58" s="260" t="inlineStr">
        <is>
          <t>+</t>
        </is>
      </c>
      <c r="Y58" s="278" t="n"/>
    </row>
    <row r="59">
      <c r="A59" s="243" t="n">
        <v>57</v>
      </c>
      <c r="B59" s="254" t="n"/>
      <c r="C59" s="299" t="n"/>
      <c r="D59" s="504" t="n">
        <v>1</v>
      </c>
      <c r="E59" s="304">
        <f>VLOOKUP(D59,オッズデータ入力!O$7:P$25,2,FALSE)</f>
        <v/>
      </c>
      <c r="F59" s="498" t="n"/>
      <c r="G59" s="285" t="n"/>
      <c r="H59" s="504" t="n">
        <v>1</v>
      </c>
      <c r="I59" s="304">
        <f>VLOOKUP(H59,オッズデータ入力!AM$7:AN$25,2,FALSE)</f>
        <v/>
      </c>
      <c r="J59" s="498" t="n">
        <v>1</v>
      </c>
      <c r="K59" s="282">
        <f>VLOOKUP(J59,オッズデータ入力!AY$7:AZ$25,2,FALSE)</f>
        <v/>
      </c>
      <c r="L59" s="273" t="n"/>
      <c r="M59" s="259">
        <f>IF(D59&lt;=2,"A",IF(D59&lt;=5,"B",IF(D59&lt;=7,"C",IF(D59&lt;=10,"D",IF(D59&lt;=13,"E",IF(D59&lt;=16,"F",IF(D59&lt;=18,"G")))))))</f>
        <v/>
      </c>
      <c r="N59" s="259" t="n"/>
      <c r="O59" s="259">
        <f>IF(H59&lt;=2,"A",IF(H59&lt;=5,"B",IF(H59&lt;=7,"C",IF(H59&lt;=10,"D",IF(H59&lt;=13,"E",IF(H59&lt;=16,"F",IF(H59&lt;=18,"G")))))))</f>
        <v/>
      </c>
      <c r="P59" s="264">
        <f>IF(J59&lt;=2,"A",IF(J59&lt;=5,"B",IF(J59&lt;=7,"C",IF(J59&lt;=10,"D",IF(J59&lt;=13,"E",IF(J59&lt;=16,"F",IF(J59&lt;=18,"G")))))))</f>
        <v/>
      </c>
      <c r="Q59" s="323" t="n"/>
      <c r="R59" s="324">
        <f>E59</f>
        <v/>
      </c>
      <c r="S59" s="324" t="n"/>
      <c r="T59" s="324">
        <f>I59</f>
        <v/>
      </c>
      <c r="U59" s="335">
        <f>K59</f>
        <v/>
      </c>
      <c r="V59" s="241" t="inlineStr">
        <is>
          <t>14~20</t>
        </is>
      </c>
      <c r="W59" s="273">
        <f>SUM(B59,D59,F59,H59,J59)</f>
        <v/>
      </c>
      <c r="X59" s="259" t="inlineStr">
        <is>
          <t>+</t>
        </is>
      </c>
      <c r="Y59" s="274" t="n"/>
    </row>
    <row r="60">
      <c r="A60" s="245" t="n">
        <v>58</v>
      </c>
      <c r="B60" s="255" t="n"/>
      <c r="C60" s="300" t="n"/>
      <c r="D60" s="506" t="n">
        <v>1</v>
      </c>
      <c r="E60" s="305">
        <f>VLOOKUP(D60,オッズデータ入力!O$7:P$25,2,FALSE)</f>
        <v/>
      </c>
      <c r="F60" s="505" t="n"/>
      <c r="G60" s="314" t="n"/>
      <c r="H60" s="506" t="n">
        <v>1</v>
      </c>
      <c r="I60" s="305">
        <f>VLOOKUP(H60,オッズデータ入力!AM$7:AN$25,2,FALSE)</f>
        <v/>
      </c>
      <c r="J60" s="505" t="n">
        <v>2</v>
      </c>
      <c r="K60" s="297">
        <f>VLOOKUP(J60,オッズデータ入力!AY$7:AZ$25,2,FALSE)</f>
        <v/>
      </c>
      <c r="L60" s="275" t="n"/>
      <c r="M60" s="4">
        <f>IF(D60&lt;=2,"A",IF(D60&lt;=5,"B",IF(D60&lt;=7,"C",IF(D60&lt;=10,"D",IF(D60&lt;=13,"E",IF(D60&lt;=16,"F",IF(D60&lt;=18,"G")))))))</f>
        <v/>
      </c>
      <c r="N60" s="4" t="n"/>
      <c r="O60" s="4">
        <f>IF(H60&lt;=2,"A",IF(H60&lt;=5,"B",IF(H60&lt;=7,"C",IF(H60&lt;=10,"D",IF(H60&lt;=13,"E",IF(H60&lt;=16,"F",IF(H60&lt;=18,"G")))))))</f>
        <v/>
      </c>
      <c r="P60" s="3">
        <f>IF(J60&lt;=2,"A",IF(J60&lt;=5,"B",IF(J60&lt;=7,"C",IF(J60&lt;=10,"D",IF(J60&lt;=13,"E",IF(J60&lt;=16,"F",IF(J60&lt;=18,"G")))))))</f>
        <v/>
      </c>
      <c r="Q60" s="326" t="n"/>
      <c r="R60" s="327">
        <f>E60</f>
        <v/>
      </c>
      <c r="S60" s="327" t="n"/>
      <c r="T60" s="327">
        <f>I60</f>
        <v/>
      </c>
      <c r="U60" s="336">
        <f>K60</f>
        <v/>
      </c>
      <c r="V60" s="245" t="inlineStr">
        <is>
          <t>14~20</t>
        </is>
      </c>
      <c r="W60" s="275">
        <f>SUM(B60,D60,F60,H60,J60)</f>
        <v/>
      </c>
      <c r="X60" s="4" t="inlineStr">
        <is>
          <t>+</t>
        </is>
      </c>
      <c r="Y60" s="276" t="n"/>
    </row>
    <row r="61">
      <c r="A61" s="245" t="n">
        <v>59</v>
      </c>
      <c r="B61" s="255" t="n"/>
      <c r="C61" s="300" t="n"/>
      <c r="D61" s="506" t="n">
        <v>1</v>
      </c>
      <c r="E61" s="305">
        <f>VLOOKUP(D61,オッズデータ入力!O$7:P$25,2,FALSE)</f>
        <v/>
      </c>
      <c r="F61" s="505" t="n"/>
      <c r="G61" s="314" t="n"/>
      <c r="H61" s="506" t="n">
        <v>2</v>
      </c>
      <c r="I61" s="305">
        <f>VLOOKUP(H61,オッズデータ入力!AM$7:AN$25,2,FALSE)</f>
        <v/>
      </c>
      <c r="J61" s="505" t="n">
        <v>1</v>
      </c>
      <c r="K61" s="297">
        <f>VLOOKUP(J61,オッズデータ入力!AY$7:AZ$25,2,FALSE)</f>
        <v/>
      </c>
      <c r="L61" s="275" t="n"/>
      <c r="M61" s="4">
        <f>IF(D61&lt;=2,"A",IF(D61&lt;=5,"B",IF(D61&lt;=7,"C",IF(D61&lt;=10,"D",IF(D61&lt;=13,"E",IF(D61&lt;=16,"F",IF(D61&lt;=18,"G")))))))</f>
        <v/>
      </c>
      <c r="N61" s="4" t="n"/>
      <c r="O61" s="4">
        <f>IF(H61&lt;=2,"A",IF(H61&lt;=5,"B",IF(H61&lt;=7,"C",IF(H61&lt;=10,"D",IF(H61&lt;=13,"E",IF(H61&lt;=16,"F",IF(H61&lt;=18,"G")))))))</f>
        <v/>
      </c>
      <c r="P61" s="3">
        <f>IF(J61&lt;=2,"A",IF(J61&lt;=5,"B",IF(J61&lt;=7,"C",IF(J61&lt;=10,"D",IF(J61&lt;=13,"E",IF(J61&lt;=16,"F",IF(J61&lt;=18,"G")))))))</f>
        <v/>
      </c>
      <c r="Q61" s="326" t="n"/>
      <c r="R61" s="327">
        <f>E61</f>
        <v/>
      </c>
      <c r="S61" s="327" t="n"/>
      <c r="T61" s="327">
        <f>I61</f>
        <v/>
      </c>
      <c r="U61" s="336">
        <f>K61</f>
        <v/>
      </c>
      <c r="V61" s="245" t="inlineStr">
        <is>
          <t>14~20</t>
        </is>
      </c>
      <c r="W61" s="275">
        <f>SUM(B61,D61,F61,H61,J61)</f>
        <v/>
      </c>
      <c r="X61" s="4" t="inlineStr">
        <is>
          <t>+</t>
        </is>
      </c>
      <c r="Y61" s="276" t="n"/>
    </row>
    <row r="62">
      <c r="A62" s="245" t="n">
        <v>60</v>
      </c>
      <c r="B62" s="255" t="n"/>
      <c r="C62" s="300" t="n"/>
      <c r="D62" s="506" t="n">
        <v>1</v>
      </c>
      <c r="E62" s="305">
        <f>VLOOKUP(D62,オッズデータ入力!O$7:P$25,2,FALSE)</f>
        <v/>
      </c>
      <c r="F62" s="505" t="n"/>
      <c r="G62" s="314" t="n"/>
      <c r="H62" s="506" t="n">
        <v>2</v>
      </c>
      <c r="I62" s="305">
        <f>VLOOKUP(H62,オッズデータ入力!AM$7:AN$25,2,FALSE)</f>
        <v/>
      </c>
      <c r="J62" s="505" t="n">
        <v>2</v>
      </c>
      <c r="K62" s="297">
        <f>VLOOKUP(J62,オッズデータ入力!AY$7:AZ$25,2,FALSE)</f>
        <v/>
      </c>
      <c r="L62" s="275" t="n"/>
      <c r="M62" s="4">
        <f>IF(D62&lt;=2,"A",IF(D62&lt;=5,"B",IF(D62&lt;=7,"C",IF(D62&lt;=10,"D",IF(D62&lt;=13,"E",IF(D62&lt;=16,"F",IF(D62&lt;=18,"G")))))))</f>
        <v/>
      </c>
      <c r="N62" s="4" t="n"/>
      <c r="O62" s="4">
        <f>IF(H62&lt;=2,"A",IF(H62&lt;=5,"B",IF(H62&lt;=7,"C",IF(H62&lt;=10,"D",IF(H62&lt;=13,"E",IF(H62&lt;=16,"F",IF(H62&lt;=18,"G")))))))</f>
        <v/>
      </c>
      <c r="P62" s="3">
        <f>IF(J62&lt;=2,"A",IF(J62&lt;=5,"B",IF(J62&lt;=7,"C",IF(J62&lt;=10,"D",IF(J62&lt;=13,"E",IF(J62&lt;=16,"F",IF(J62&lt;=18,"G")))))))</f>
        <v/>
      </c>
      <c r="Q62" s="326" t="n"/>
      <c r="R62" s="327">
        <f>E62</f>
        <v/>
      </c>
      <c r="S62" s="327" t="n"/>
      <c r="T62" s="327">
        <f>I62</f>
        <v/>
      </c>
      <c r="U62" s="336">
        <f>K62</f>
        <v/>
      </c>
      <c r="V62" s="245" t="inlineStr">
        <is>
          <t>14~20</t>
        </is>
      </c>
      <c r="W62" s="275">
        <f>SUM(B62,D62,F62,H62,J62)</f>
        <v/>
      </c>
      <c r="X62" s="4" t="inlineStr">
        <is>
          <t>+</t>
        </is>
      </c>
      <c r="Y62" s="276" t="n"/>
    </row>
    <row r="63">
      <c r="A63" s="245" t="n">
        <v>61</v>
      </c>
      <c r="B63" s="255" t="n"/>
      <c r="C63" s="300" t="n"/>
      <c r="D63" s="507" t="n">
        <v>2</v>
      </c>
      <c r="E63" s="305">
        <f>VLOOKUP(D63,オッズデータ入力!O$7:P$25,2,FALSE)</f>
        <v/>
      </c>
      <c r="F63" s="505" t="n"/>
      <c r="G63" s="314" t="n"/>
      <c r="H63" s="507" t="n">
        <v>1</v>
      </c>
      <c r="I63" s="306">
        <f>VLOOKUP(H63,オッズデータ入力!AM$7:AN$25,2,FALSE)</f>
        <v/>
      </c>
      <c r="J63" s="500" t="n">
        <v>1</v>
      </c>
      <c r="K63" s="297">
        <f>VLOOKUP(J63,オッズデータ入力!AY$7:AZ$25,2,FALSE)</f>
        <v/>
      </c>
      <c r="L63" s="275" t="n"/>
      <c r="M63" s="4">
        <f>IF(D63&lt;=2,"A",IF(D63&lt;=5,"B",IF(D63&lt;=7,"C",IF(D63&lt;=10,"D",IF(D63&lt;=13,"E",IF(D63&lt;=16,"F",IF(D63&lt;=18,"G")))))))</f>
        <v/>
      </c>
      <c r="N63" s="4" t="n"/>
      <c r="O63" s="4">
        <f>IF(H63&lt;=2,"A",IF(H63&lt;=5,"B",IF(H63&lt;=7,"C",IF(H63&lt;=10,"D",IF(H63&lt;=13,"E",IF(H63&lt;=16,"F",IF(H63&lt;=18,"G")))))))</f>
        <v/>
      </c>
      <c r="P63" s="3">
        <f>IF(J63&lt;=2,"A",IF(J63&lt;=5,"B",IF(J63&lt;=7,"C",IF(J63&lt;=10,"D",IF(J63&lt;=13,"E",IF(J63&lt;=16,"F",IF(J63&lt;=18,"G")))))))</f>
        <v/>
      </c>
      <c r="Q63" s="326" t="n"/>
      <c r="R63" s="327">
        <f>E63</f>
        <v/>
      </c>
      <c r="S63" s="327" t="n"/>
      <c r="T63" s="327">
        <f>I63</f>
        <v/>
      </c>
      <c r="U63" s="336">
        <f>K63</f>
        <v/>
      </c>
      <c r="V63" s="245" t="inlineStr">
        <is>
          <t>14~20</t>
        </is>
      </c>
      <c r="W63" s="275">
        <f>SUM(B63,D63,F63,H63,J63)</f>
        <v/>
      </c>
      <c r="X63" s="4" t="inlineStr">
        <is>
          <t>+</t>
        </is>
      </c>
      <c r="Y63" s="276" t="n"/>
    </row>
    <row r="64">
      <c r="A64" s="245" t="n">
        <v>62</v>
      </c>
      <c r="B64" s="256" t="n"/>
      <c r="C64" s="301" t="n"/>
      <c r="D64" s="507" t="n">
        <v>2</v>
      </c>
      <c r="E64" s="306">
        <f>VLOOKUP(D64,オッズデータ入力!O$7:P$25,2,FALSE)</f>
        <v/>
      </c>
      <c r="F64" s="500" t="n"/>
      <c r="G64" s="286" t="n"/>
      <c r="H64" s="507" t="n">
        <v>1</v>
      </c>
      <c r="I64" s="306">
        <f>VLOOKUP(H64,オッズデータ入力!AM$7:AN$25,2,FALSE)</f>
        <v/>
      </c>
      <c r="J64" s="500" t="n">
        <v>2</v>
      </c>
      <c r="K64" s="283">
        <f>VLOOKUP(J64,オッズデータ入力!AY$7:AZ$25,2,FALSE)</f>
        <v/>
      </c>
      <c r="L64" s="275" t="n"/>
      <c r="M64" s="4">
        <f>IF(D64&lt;=2,"A",IF(D64&lt;=5,"B",IF(D64&lt;=7,"C",IF(D64&lt;=10,"D",IF(D64&lt;=13,"E",IF(D64&lt;=16,"F",IF(D64&lt;=18,"G")))))))</f>
        <v/>
      </c>
      <c r="N64" s="4" t="n"/>
      <c r="O64" s="4">
        <f>IF(H64&lt;=2,"A",IF(H64&lt;=5,"B",IF(H64&lt;=7,"C",IF(H64&lt;=10,"D",IF(H64&lt;=13,"E",IF(H64&lt;=16,"F",IF(H64&lt;=18,"G")))))))</f>
        <v/>
      </c>
      <c r="P64" s="3">
        <f>IF(J64&lt;=2,"A",IF(J64&lt;=5,"B",IF(J64&lt;=7,"C",IF(J64&lt;=10,"D",IF(J64&lt;=13,"E",IF(J64&lt;=16,"F",IF(J64&lt;=18,"G")))))))</f>
        <v/>
      </c>
      <c r="Q64" s="326" t="n"/>
      <c r="R64" s="327">
        <f>E64</f>
        <v/>
      </c>
      <c r="S64" s="327" t="n"/>
      <c r="T64" s="327">
        <f>I64</f>
        <v/>
      </c>
      <c r="U64" s="336">
        <f>K64</f>
        <v/>
      </c>
      <c r="V64" s="245" t="inlineStr">
        <is>
          <t>14~20</t>
        </is>
      </c>
      <c r="W64" s="275">
        <f>SUM(B64,D64,F64,H64,J64)</f>
        <v/>
      </c>
      <c r="X64" s="4" t="inlineStr">
        <is>
          <t>+</t>
        </is>
      </c>
      <c r="Y64" s="276" t="n"/>
    </row>
    <row r="65">
      <c r="A65" s="245" t="n">
        <v>63</v>
      </c>
      <c r="B65" s="256" t="n"/>
      <c r="C65" s="302" t="n"/>
      <c r="D65" s="509" t="n">
        <v>2</v>
      </c>
      <c r="E65" s="307">
        <f>VLOOKUP(D65,オッズデータ入力!O$7:P$25,2,FALSE)</f>
        <v/>
      </c>
      <c r="F65" s="500" t="n"/>
      <c r="G65" s="315" t="n"/>
      <c r="H65" s="509" t="n">
        <v>2</v>
      </c>
      <c r="I65" s="307">
        <f>VLOOKUP(H65,オッズデータ入力!AM$7:AN$25,2,FALSE)</f>
        <v/>
      </c>
      <c r="J65" s="508" t="n">
        <v>1</v>
      </c>
      <c r="K65" s="298">
        <f>VLOOKUP(J65,オッズデータ入力!AY$7:AZ$25,2,FALSE)</f>
        <v/>
      </c>
      <c r="L65" s="275" t="n"/>
      <c r="M65" s="4">
        <f>IF(D65&lt;=2,"A",IF(D65&lt;=5,"B",IF(D65&lt;=7,"C",IF(D65&lt;=10,"D",IF(D65&lt;=13,"E",IF(D65&lt;=16,"F",IF(D65&lt;=18,"G")))))))</f>
        <v/>
      </c>
      <c r="N65" s="4" t="n"/>
      <c r="O65" s="4">
        <f>IF(H65&lt;=2,"A",IF(H65&lt;=5,"B",IF(H65&lt;=7,"C",IF(H65&lt;=10,"D",IF(H65&lt;=13,"E",IF(H65&lt;=16,"F",IF(H65&lt;=18,"G")))))))</f>
        <v/>
      </c>
      <c r="P65" s="3">
        <f>IF(J65&lt;=2,"A",IF(J65&lt;=5,"B",IF(J65&lt;=7,"C",IF(J65&lt;=10,"D",IF(J65&lt;=13,"E",IF(J65&lt;=16,"F",IF(J65&lt;=18,"G")))))))</f>
        <v/>
      </c>
      <c r="Q65" s="326" t="n"/>
      <c r="R65" s="327">
        <f>E65</f>
        <v/>
      </c>
      <c r="S65" s="327" t="n"/>
      <c r="T65" s="327">
        <f>I65</f>
        <v/>
      </c>
      <c r="U65" s="336">
        <f>K65</f>
        <v/>
      </c>
      <c r="V65" s="245" t="inlineStr">
        <is>
          <t>14~20</t>
        </is>
      </c>
      <c r="W65" s="275">
        <f>SUM(B65,D65,F65,H65,J65)</f>
        <v/>
      </c>
      <c r="X65" s="4" t="inlineStr">
        <is>
          <t>+</t>
        </is>
      </c>
      <c r="Y65" s="276" t="n"/>
    </row>
    <row r="66" ht="24.75" customHeight="1" thickBot="1">
      <c r="A66" s="247" t="n">
        <v>64</v>
      </c>
      <c r="B66" s="257" t="n"/>
      <c r="C66" s="303" t="n"/>
      <c r="D66" s="510" t="n">
        <v>2</v>
      </c>
      <c r="E66" s="308">
        <f>VLOOKUP(D66,オッズデータ入力!O$7:P$25,2,FALSE)</f>
        <v/>
      </c>
      <c r="F66" s="502" t="n"/>
      <c r="G66" s="287" t="n"/>
      <c r="H66" s="510" t="n">
        <v>2</v>
      </c>
      <c r="I66" s="308">
        <f>VLOOKUP(H66,オッズデータ入力!AM$7:AN$25,2,FALSE)</f>
        <v/>
      </c>
      <c r="J66" s="502" t="n">
        <v>2</v>
      </c>
      <c r="K66" s="284">
        <f>VLOOKUP(J66,オッズデータ入力!AY$7:AZ$25,2,FALSE)</f>
        <v/>
      </c>
      <c r="L66" s="277" t="n"/>
      <c r="M66" s="260">
        <f>IF(D66&lt;=2,"A",IF(D66&lt;=5,"B",IF(D66&lt;=7,"C",IF(D66&lt;=10,"D",IF(D66&lt;=13,"E",IF(D66&lt;=16,"F",IF(D66&lt;=18,"G")))))))</f>
        <v/>
      </c>
      <c r="N66" s="260" t="n"/>
      <c r="O66" s="260">
        <f>IF(H66&lt;=2,"A",IF(H66&lt;=5,"B",IF(H66&lt;=7,"C",IF(H66&lt;=10,"D",IF(H66&lt;=13,"E",IF(H66&lt;=16,"F",IF(H66&lt;=18,"G")))))))</f>
        <v/>
      </c>
      <c r="P66" s="265">
        <f>IF(J66&lt;=2,"A",IF(J66&lt;=5,"B",IF(J66&lt;=7,"C",IF(J66&lt;=10,"D",IF(J66&lt;=13,"E",IF(J66&lt;=16,"F",IF(J66&lt;=18,"G")))))))</f>
        <v/>
      </c>
      <c r="Q66" s="330" t="n"/>
      <c r="R66" s="331">
        <f>E66</f>
        <v/>
      </c>
      <c r="S66" s="331" t="n"/>
      <c r="T66" s="331">
        <f>I66</f>
        <v/>
      </c>
      <c r="U66" s="337">
        <f>K66</f>
        <v/>
      </c>
      <c r="V66" s="249" t="inlineStr">
        <is>
          <t>14~20</t>
        </is>
      </c>
      <c r="W66" s="277">
        <f>SUM(B66,D66,F66,H66,J66)</f>
        <v/>
      </c>
      <c r="X66" s="260" t="inlineStr">
        <is>
          <t>+</t>
        </is>
      </c>
      <c r="Y66" s="278" t="n"/>
    </row>
    <row r="67">
      <c r="A67" s="241" t="n">
        <v>65</v>
      </c>
      <c r="B67" s="254" t="n"/>
      <c r="C67" s="299" t="n"/>
      <c r="D67" s="504" t="n">
        <v>1</v>
      </c>
      <c r="E67" s="304">
        <f>VLOOKUP(D67,オッズデータ入力!O$7:P$25,2,FALSE)</f>
        <v/>
      </c>
      <c r="F67" s="498" t="n">
        <v>1</v>
      </c>
      <c r="G67" s="285">
        <f>VLOOKUP(F67,オッズデータ入力!AA$7:AB$25,2,FALSE)</f>
        <v/>
      </c>
      <c r="H67" s="293" t="n"/>
      <c r="I67" s="309" t="n"/>
      <c r="J67" s="498" t="n">
        <v>1</v>
      </c>
      <c r="K67" s="282">
        <f>VLOOKUP(J67,オッズデータ入力!AY$7:AZ$25,2,FALSE)</f>
        <v/>
      </c>
      <c r="L67" s="273" t="n"/>
      <c r="M67" s="259">
        <f>IF(D67&lt;=2,"A",IF(D67&lt;=5,"B",IF(D67&lt;=7,"C",IF(D67&lt;=10,"D",IF(D67&lt;=13,"E",IF(D67&lt;=16,"F",IF(D67&lt;=18,"G")))))))</f>
        <v/>
      </c>
      <c r="N67" s="259">
        <f>IF(F67&lt;=2,"A",IF(F67&lt;=5,"B",IF(F67&lt;=7,"C",IF(F67&lt;=10,"D",IF(F67&lt;=13,"E",IF(F67&lt;=16,"F",IF(F67&lt;=18,"G")))))))</f>
        <v/>
      </c>
      <c r="O67" s="259" t="n"/>
      <c r="P67" s="264">
        <f>IF(J67&lt;=2,"A",IF(J67&lt;=5,"B",IF(J67&lt;=7,"C",IF(J67&lt;=10,"D",IF(J67&lt;=13,"E",IF(J67&lt;=16,"F",IF(J67&lt;=18,"G")))))))</f>
        <v/>
      </c>
      <c r="Q67" s="323" t="n"/>
      <c r="R67" s="324">
        <f>E67</f>
        <v/>
      </c>
      <c r="S67" s="324">
        <f>G67</f>
        <v/>
      </c>
      <c r="T67" s="324" t="n"/>
      <c r="U67" s="335">
        <f>K67</f>
        <v/>
      </c>
      <c r="V67" s="241" t="inlineStr">
        <is>
          <t>14~20</t>
        </is>
      </c>
      <c r="W67" s="273">
        <f>SUM(B67,D67,F67,H67,J67)</f>
        <v/>
      </c>
      <c r="X67" s="259" t="inlineStr">
        <is>
          <t>+</t>
        </is>
      </c>
      <c r="Y67" s="274" t="n"/>
    </row>
    <row r="68">
      <c r="A68" s="245" t="n">
        <v>66</v>
      </c>
      <c r="B68" s="255" t="n"/>
      <c r="C68" s="300" t="n"/>
      <c r="D68" s="506" t="n">
        <v>1</v>
      </c>
      <c r="E68" s="305">
        <f>VLOOKUP(D68,オッズデータ入力!O$7:P$25,2,FALSE)</f>
        <v/>
      </c>
      <c r="F68" s="505" t="n">
        <v>1</v>
      </c>
      <c r="G68" s="314">
        <f>VLOOKUP(F68,オッズデータ入力!AA$7:AB$25,2,FALSE)</f>
        <v/>
      </c>
      <c r="H68" s="294" t="n"/>
      <c r="I68" s="310" t="n"/>
      <c r="J68" s="505" t="n">
        <v>2</v>
      </c>
      <c r="K68" s="297">
        <f>VLOOKUP(J68,オッズデータ入力!AY$7:AZ$25,2,FALSE)</f>
        <v/>
      </c>
      <c r="L68" s="275" t="n"/>
      <c r="M68" s="4">
        <f>IF(D68&lt;=2,"A",IF(D68&lt;=5,"B",IF(D68&lt;=7,"C",IF(D68&lt;=10,"D",IF(D68&lt;=13,"E",IF(D68&lt;=16,"F",IF(D68&lt;=18,"G")))))))</f>
        <v/>
      </c>
      <c r="N68" s="4">
        <f>IF(F68&lt;=2,"A",IF(F68&lt;=5,"B",IF(F68&lt;=7,"C",IF(F68&lt;=10,"D",IF(F68&lt;=13,"E",IF(F68&lt;=16,"F",IF(F68&lt;=18,"G")))))))</f>
        <v/>
      </c>
      <c r="O68" s="4" t="n"/>
      <c r="P68" s="3">
        <f>IF(J68&lt;=2,"A",IF(J68&lt;=5,"B",IF(J68&lt;=7,"C",IF(J68&lt;=10,"D",IF(J68&lt;=13,"E",IF(J68&lt;=16,"F",IF(J68&lt;=18,"G")))))))</f>
        <v/>
      </c>
      <c r="Q68" s="326" t="n"/>
      <c r="R68" s="327">
        <f>E68</f>
        <v/>
      </c>
      <c r="S68" s="327">
        <f>G68</f>
        <v/>
      </c>
      <c r="T68" s="327" t="n"/>
      <c r="U68" s="336">
        <f>K68</f>
        <v/>
      </c>
      <c r="V68" s="245" t="inlineStr">
        <is>
          <t>14~20</t>
        </is>
      </c>
      <c r="W68" s="275">
        <f>SUM(B68,D68,F68,H68,J68)</f>
        <v/>
      </c>
      <c r="X68" s="4" t="inlineStr">
        <is>
          <t>+</t>
        </is>
      </c>
      <c r="Y68" s="276" t="n"/>
    </row>
    <row r="69">
      <c r="A69" s="245" t="n">
        <v>67</v>
      </c>
      <c r="B69" s="255" t="n"/>
      <c r="C69" s="300" t="n"/>
      <c r="D69" s="506" t="n">
        <v>1</v>
      </c>
      <c r="E69" s="305">
        <f>VLOOKUP(D69,オッズデータ入力!O$7:P$25,2,FALSE)</f>
        <v/>
      </c>
      <c r="F69" s="505" t="n">
        <v>2</v>
      </c>
      <c r="G69" s="314">
        <f>VLOOKUP(F69,オッズデータ入力!AA$7:AB$25,2,FALSE)</f>
        <v/>
      </c>
      <c r="H69" s="294" t="n"/>
      <c r="I69" s="310" t="n"/>
      <c r="J69" s="505" t="n">
        <v>1</v>
      </c>
      <c r="K69" s="297">
        <f>VLOOKUP(J69,オッズデータ入力!AY$7:AZ$25,2,FALSE)</f>
        <v/>
      </c>
      <c r="L69" s="275" t="n"/>
      <c r="M69" s="4">
        <f>IF(D69&lt;=2,"A",IF(D69&lt;=5,"B",IF(D69&lt;=7,"C",IF(D69&lt;=10,"D",IF(D69&lt;=13,"E",IF(D69&lt;=16,"F",IF(D69&lt;=18,"G")))))))</f>
        <v/>
      </c>
      <c r="N69" s="4">
        <f>IF(F69&lt;=2,"A",IF(F69&lt;=5,"B",IF(F69&lt;=7,"C",IF(F69&lt;=10,"D",IF(F69&lt;=13,"E",IF(F69&lt;=16,"F",IF(F69&lt;=18,"G")))))))</f>
        <v/>
      </c>
      <c r="O69" s="4" t="n"/>
      <c r="P69" s="3">
        <f>IF(J69&lt;=2,"A",IF(J69&lt;=5,"B",IF(J69&lt;=7,"C",IF(J69&lt;=10,"D",IF(J69&lt;=13,"E",IF(J69&lt;=16,"F",IF(J69&lt;=18,"G")))))))</f>
        <v/>
      </c>
      <c r="Q69" s="326" t="n"/>
      <c r="R69" s="327">
        <f>E69</f>
        <v/>
      </c>
      <c r="S69" s="327">
        <f>G69</f>
        <v/>
      </c>
      <c r="T69" s="327" t="n"/>
      <c r="U69" s="336">
        <f>K69</f>
        <v/>
      </c>
      <c r="V69" s="245" t="inlineStr">
        <is>
          <t>14~20</t>
        </is>
      </c>
      <c r="W69" s="275">
        <f>SUM(B69,D69,F69,H69,J69)</f>
        <v/>
      </c>
      <c r="X69" s="4" t="inlineStr">
        <is>
          <t>+</t>
        </is>
      </c>
      <c r="Y69" s="276" t="n"/>
    </row>
    <row r="70">
      <c r="A70" s="245" t="n">
        <v>68</v>
      </c>
      <c r="B70" s="255" t="n"/>
      <c r="C70" s="300" t="n"/>
      <c r="D70" s="506" t="n">
        <v>1</v>
      </c>
      <c r="E70" s="305">
        <f>VLOOKUP(D70,オッズデータ入力!O$7:P$25,2,FALSE)</f>
        <v/>
      </c>
      <c r="F70" s="505" t="n">
        <v>2</v>
      </c>
      <c r="G70" s="314">
        <f>VLOOKUP(F70,オッズデータ入力!AA$7:AB$25,2,FALSE)</f>
        <v/>
      </c>
      <c r="H70" s="294" t="n"/>
      <c r="I70" s="310" t="n"/>
      <c r="J70" s="505" t="n">
        <v>2</v>
      </c>
      <c r="K70" s="297">
        <f>VLOOKUP(J70,オッズデータ入力!AY$7:AZ$25,2,FALSE)</f>
        <v/>
      </c>
      <c r="L70" s="275" t="n"/>
      <c r="M70" s="4">
        <f>IF(D70&lt;=2,"A",IF(D70&lt;=5,"B",IF(D70&lt;=7,"C",IF(D70&lt;=10,"D",IF(D70&lt;=13,"E",IF(D70&lt;=16,"F",IF(D70&lt;=18,"G")))))))</f>
        <v/>
      </c>
      <c r="N70" s="4">
        <f>IF(F70&lt;=2,"A",IF(F70&lt;=5,"B",IF(F70&lt;=7,"C",IF(F70&lt;=10,"D",IF(F70&lt;=13,"E",IF(F70&lt;=16,"F",IF(F70&lt;=18,"G")))))))</f>
        <v/>
      </c>
      <c r="O70" s="4" t="n"/>
      <c r="P70" s="3">
        <f>IF(J70&lt;=2,"A",IF(J70&lt;=5,"B",IF(J70&lt;=7,"C",IF(J70&lt;=10,"D",IF(J70&lt;=13,"E",IF(J70&lt;=16,"F",IF(J70&lt;=18,"G")))))))</f>
        <v/>
      </c>
      <c r="Q70" s="326" t="n"/>
      <c r="R70" s="327">
        <f>E70</f>
        <v/>
      </c>
      <c r="S70" s="327">
        <f>G70</f>
        <v/>
      </c>
      <c r="T70" s="327" t="n"/>
      <c r="U70" s="336">
        <f>K70</f>
        <v/>
      </c>
      <c r="V70" s="245" t="inlineStr">
        <is>
          <t>14~20</t>
        </is>
      </c>
      <c r="W70" s="275">
        <f>SUM(B70,D70,F70,H70,J70)</f>
        <v/>
      </c>
      <c r="X70" s="4" t="inlineStr">
        <is>
          <t>+</t>
        </is>
      </c>
      <c r="Y70" s="276" t="n"/>
    </row>
    <row r="71">
      <c r="A71" s="245" t="n">
        <v>69</v>
      </c>
      <c r="B71" s="255" t="n"/>
      <c r="C71" s="300" t="n"/>
      <c r="D71" s="507" t="n">
        <v>2</v>
      </c>
      <c r="E71" s="306">
        <f>VLOOKUP(D71,オッズデータ入力!O$7:P$25,2,FALSE)</f>
        <v/>
      </c>
      <c r="F71" s="500" t="n">
        <v>1</v>
      </c>
      <c r="G71" s="286">
        <f>VLOOKUP(F71,オッズデータ入力!AA$7:AB$25,2,FALSE)</f>
        <v/>
      </c>
      <c r="H71" s="294" t="n"/>
      <c r="I71" s="310" t="n"/>
      <c r="J71" s="500" t="n">
        <v>1</v>
      </c>
      <c r="K71" s="297">
        <f>VLOOKUP(J71,オッズデータ入力!AY$7:AZ$25,2,FALSE)</f>
        <v/>
      </c>
      <c r="L71" s="275" t="n"/>
      <c r="M71" s="4">
        <f>IF(D71&lt;=2,"A",IF(D71&lt;=5,"B",IF(D71&lt;=7,"C",IF(D71&lt;=10,"D",IF(D71&lt;=13,"E",IF(D71&lt;=16,"F",IF(D71&lt;=18,"G")))))))</f>
        <v/>
      </c>
      <c r="N71" s="4">
        <f>IF(F71&lt;=2,"A",IF(F71&lt;=5,"B",IF(F71&lt;=7,"C",IF(F71&lt;=10,"D",IF(F71&lt;=13,"E",IF(F71&lt;=16,"F",IF(F71&lt;=18,"G")))))))</f>
        <v/>
      </c>
      <c r="O71" s="4" t="n"/>
      <c r="P71" s="3">
        <f>IF(J71&lt;=2,"A",IF(J71&lt;=5,"B",IF(J71&lt;=7,"C",IF(J71&lt;=10,"D",IF(J71&lt;=13,"E",IF(J71&lt;=16,"F",IF(J71&lt;=18,"G")))))))</f>
        <v/>
      </c>
      <c r="Q71" s="326" t="n"/>
      <c r="R71" s="327">
        <f>E71</f>
        <v/>
      </c>
      <c r="S71" s="327">
        <f>G71</f>
        <v/>
      </c>
      <c r="T71" s="327" t="n"/>
      <c r="U71" s="336">
        <f>K71</f>
        <v/>
      </c>
      <c r="V71" s="245" t="inlineStr">
        <is>
          <t>14~20</t>
        </is>
      </c>
      <c r="W71" s="275">
        <f>SUM(B71,D71,F71,H71,J71)</f>
        <v/>
      </c>
      <c r="X71" s="4" t="inlineStr">
        <is>
          <t>+</t>
        </is>
      </c>
      <c r="Y71" s="276" t="n"/>
    </row>
    <row r="72">
      <c r="A72" s="245" t="n">
        <v>70</v>
      </c>
      <c r="B72" s="256" t="n"/>
      <c r="C72" s="301" t="n"/>
      <c r="D72" s="507" t="n">
        <v>2</v>
      </c>
      <c r="E72" s="306">
        <f>VLOOKUP(D72,オッズデータ入力!O$7:P$25,2,FALSE)</f>
        <v/>
      </c>
      <c r="F72" s="500" t="n">
        <v>1</v>
      </c>
      <c r="G72" s="286">
        <f>VLOOKUP(F72,オッズデータ入力!AA$7:AB$25,2,FALSE)</f>
        <v/>
      </c>
      <c r="H72" s="295" t="n"/>
      <c r="I72" s="311" t="n"/>
      <c r="J72" s="500" t="n">
        <v>2</v>
      </c>
      <c r="K72" s="283">
        <f>VLOOKUP(J72,オッズデータ入力!AY$7:AZ$25,2,FALSE)</f>
        <v/>
      </c>
      <c r="L72" s="275" t="n"/>
      <c r="M72" s="4">
        <f>IF(D72&lt;=2,"A",IF(D72&lt;=5,"B",IF(D72&lt;=7,"C",IF(D72&lt;=10,"D",IF(D72&lt;=13,"E",IF(D72&lt;=16,"F",IF(D72&lt;=18,"G")))))))</f>
        <v/>
      </c>
      <c r="N72" s="4">
        <f>IF(F72&lt;=2,"A",IF(F72&lt;=5,"B",IF(F72&lt;=7,"C",IF(F72&lt;=10,"D",IF(F72&lt;=13,"E",IF(F72&lt;=16,"F",IF(F72&lt;=18,"G")))))))</f>
        <v/>
      </c>
      <c r="O72" s="4" t="n"/>
      <c r="P72" s="3">
        <f>IF(J72&lt;=2,"A",IF(J72&lt;=5,"B",IF(J72&lt;=7,"C",IF(J72&lt;=10,"D",IF(J72&lt;=13,"E",IF(J72&lt;=16,"F",IF(J72&lt;=18,"G")))))))</f>
        <v/>
      </c>
      <c r="Q72" s="326" t="n"/>
      <c r="R72" s="327">
        <f>E72</f>
        <v/>
      </c>
      <c r="S72" s="327">
        <f>G72</f>
        <v/>
      </c>
      <c r="T72" s="327" t="n"/>
      <c r="U72" s="336">
        <f>K72</f>
        <v/>
      </c>
      <c r="V72" s="245" t="inlineStr">
        <is>
          <t>14~20</t>
        </is>
      </c>
      <c r="W72" s="275">
        <f>SUM(B72,D72,F72,H72,J72)</f>
        <v/>
      </c>
      <c r="X72" s="4" t="inlineStr">
        <is>
          <t>+</t>
        </is>
      </c>
      <c r="Y72" s="276" t="n"/>
    </row>
    <row r="73">
      <c r="A73" s="245" t="n">
        <v>71</v>
      </c>
      <c r="B73" s="256" t="n"/>
      <c r="C73" s="302" t="n"/>
      <c r="D73" s="509" t="n">
        <v>2</v>
      </c>
      <c r="E73" s="307">
        <f>VLOOKUP(D73,オッズデータ入力!O$7:P$25,2,FALSE)</f>
        <v/>
      </c>
      <c r="F73" s="508" t="n">
        <v>2</v>
      </c>
      <c r="G73" s="315">
        <f>VLOOKUP(F73,オッズデータ入力!AA$7:AB$25,2,FALSE)</f>
        <v/>
      </c>
      <c r="H73" s="295" t="n"/>
      <c r="I73" s="312" t="n"/>
      <c r="J73" s="508" t="n">
        <v>1</v>
      </c>
      <c r="K73" s="298">
        <f>VLOOKUP(J73,オッズデータ入力!AY$7:AZ$25,2,FALSE)</f>
        <v/>
      </c>
      <c r="L73" s="275" t="n"/>
      <c r="M73" s="4">
        <f>IF(D73&lt;=2,"A",IF(D73&lt;=5,"B",IF(D73&lt;=7,"C",IF(D73&lt;=10,"D",IF(D73&lt;=13,"E",IF(D73&lt;=16,"F",IF(D73&lt;=18,"G")))))))</f>
        <v/>
      </c>
      <c r="N73" s="4">
        <f>IF(F73&lt;=2,"A",IF(F73&lt;=5,"B",IF(F73&lt;=7,"C",IF(F73&lt;=10,"D",IF(F73&lt;=13,"E",IF(F73&lt;=16,"F",IF(F73&lt;=18,"G")))))))</f>
        <v/>
      </c>
      <c r="O73" s="4" t="n"/>
      <c r="P73" s="3">
        <f>IF(J73&lt;=2,"A",IF(J73&lt;=5,"B",IF(J73&lt;=7,"C",IF(J73&lt;=10,"D",IF(J73&lt;=13,"E",IF(J73&lt;=16,"F",IF(J73&lt;=18,"G")))))))</f>
        <v/>
      </c>
      <c r="Q73" s="326" t="n"/>
      <c r="R73" s="327">
        <f>E73</f>
        <v/>
      </c>
      <c r="S73" s="327">
        <f>G73</f>
        <v/>
      </c>
      <c r="T73" s="327" t="n"/>
      <c r="U73" s="336">
        <f>K73</f>
        <v/>
      </c>
      <c r="V73" s="245" t="inlineStr">
        <is>
          <t>14~20</t>
        </is>
      </c>
      <c r="W73" s="275">
        <f>SUM(B73,D73,F73,H73,J73)</f>
        <v/>
      </c>
      <c r="X73" s="4" t="inlineStr">
        <is>
          <t>+</t>
        </is>
      </c>
      <c r="Y73" s="276" t="n"/>
    </row>
    <row r="74" ht="24.75" customHeight="1" thickBot="1">
      <c r="A74" s="249" t="n">
        <v>72</v>
      </c>
      <c r="B74" s="257" t="n"/>
      <c r="C74" s="303" t="n"/>
      <c r="D74" s="510" t="n">
        <v>2</v>
      </c>
      <c r="E74" s="308">
        <f>VLOOKUP(D74,オッズデータ入力!O$7:P$25,2,FALSE)</f>
        <v/>
      </c>
      <c r="F74" s="502" t="n">
        <v>2</v>
      </c>
      <c r="G74" s="287">
        <f>VLOOKUP(F74,オッズデータ入力!AA$7:AB$25,2,FALSE)</f>
        <v/>
      </c>
      <c r="H74" s="296" t="n"/>
      <c r="I74" s="313" t="n"/>
      <c r="J74" s="502" t="n">
        <v>2</v>
      </c>
      <c r="K74" s="284">
        <f>VLOOKUP(J74,オッズデータ入力!AY$7:AZ$25,2,FALSE)</f>
        <v/>
      </c>
      <c r="L74" s="277" t="n"/>
      <c r="M74" s="260">
        <f>IF(D74&lt;=2,"A",IF(D74&lt;=5,"B",IF(D74&lt;=7,"C",IF(D74&lt;=10,"D",IF(D74&lt;=13,"E",IF(D74&lt;=16,"F",IF(D74&lt;=18,"G")))))))</f>
        <v/>
      </c>
      <c r="N74" s="260">
        <f>IF(F74&lt;=2,"A",IF(F74&lt;=5,"B",IF(F74&lt;=7,"C",IF(F74&lt;=10,"D",IF(F74&lt;=13,"E",IF(F74&lt;=16,"F",IF(F74&lt;=18,"G")))))))</f>
        <v/>
      </c>
      <c r="O74" s="260" t="n"/>
      <c r="P74" s="265">
        <f>IF(J74&lt;=2,"A",IF(J74&lt;=5,"B",IF(J74&lt;=7,"C",IF(J74&lt;=10,"D",IF(J74&lt;=13,"E",IF(J74&lt;=16,"F",IF(J74&lt;=18,"G")))))))</f>
        <v/>
      </c>
      <c r="Q74" s="330" t="n"/>
      <c r="R74" s="331">
        <f>E74</f>
        <v/>
      </c>
      <c r="S74" s="331">
        <f>G74</f>
        <v/>
      </c>
      <c r="T74" s="331" t="n"/>
      <c r="U74" s="337">
        <f>K74</f>
        <v/>
      </c>
      <c r="V74" s="249" t="inlineStr">
        <is>
          <t>14~20</t>
        </is>
      </c>
      <c r="W74" s="277">
        <f>SUM(B74,D74,F74,H74,J74)</f>
        <v/>
      </c>
      <c r="X74" s="260" t="inlineStr">
        <is>
          <t>+</t>
        </is>
      </c>
      <c r="Y74" s="278" t="n"/>
    </row>
    <row r="75">
      <c r="A75" s="243" t="n">
        <v>73</v>
      </c>
      <c r="B75" s="254" t="n"/>
      <c r="C75" s="299" t="n"/>
      <c r="D75" s="293" t="n"/>
      <c r="E75" s="309" t="n"/>
      <c r="F75" s="498" t="n">
        <v>1</v>
      </c>
      <c r="G75" s="285">
        <f>VLOOKUP(F75,オッズデータ入力!AA$7:AB$25,2,FALSE)</f>
        <v/>
      </c>
      <c r="H75" s="504" t="n">
        <v>1</v>
      </c>
      <c r="I75" s="304">
        <f>VLOOKUP(H75,オッズデータ入力!AM$7:AN$25,2,FALSE)</f>
        <v/>
      </c>
      <c r="J75" s="498" t="n">
        <v>1</v>
      </c>
      <c r="K75" s="282">
        <f>VLOOKUP(J75,オッズデータ入力!AY$7:AZ$25,2,FALSE)</f>
        <v/>
      </c>
      <c r="L75" s="273" t="n"/>
      <c r="M75" s="259" t="n"/>
      <c r="N75" s="259">
        <f>IF(F75&lt;=2,"A",IF(F75&lt;=5,"B",IF(F75&lt;=7,"C",IF(F75&lt;=10,"D",IF(F75&lt;=13,"E",IF(F75&lt;=16,"F",IF(F75&lt;=18,"G")))))))</f>
        <v/>
      </c>
      <c r="O75" s="259">
        <f>IF(H75&lt;=2,"A",IF(H75&lt;=5,"B",IF(H75&lt;=7,"C",IF(H75&lt;=10,"D",IF(H75&lt;=13,"E",IF(H75&lt;=16,"F",IF(H75&lt;=18,"G")))))))</f>
        <v/>
      </c>
      <c r="P75" s="264">
        <f>IF(J75&lt;=2,"A",IF(J75&lt;=5,"B",IF(J75&lt;=7,"C",IF(J75&lt;=10,"D",IF(J75&lt;=13,"E",IF(J75&lt;=16,"F",IF(J75&lt;=18,"G")))))))</f>
        <v/>
      </c>
      <c r="Q75" s="323" t="n"/>
      <c r="R75" s="324" t="n"/>
      <c r="S75" s="324">
        <f>G75</f>
        <v/>
      </c>
      <c r="T75" s="324">
        <f>I75</f>
        <v/>
      </c>
      <c r="U75" s="335">
        <f>K75</f>
        <v/>
      </c>
      <c r="V75" s="241" t="inlineStr">
        <is>
          <t>14~20</t>
        </is>
      </c>
      <c r="W75" s="273">
        <f>SUM(B75,D75,F75,H75,J75)</f>
        <v/>
      </c>
      <c r="X75" s="259" t="inlineStr">
        <is>
          <t>+</t>
        </is>
      </c>
      <c r="Y75" s="274" t="n"/>
    </row>
    <row r="76">
      <c r="A76" s="245" t="n">
        <v>74</v>
      </c>
      <c r="B76" s="255" t="n"/>
      <c r="C76" s="300" t="n"/>
      <c r="D76" s="294" t="n"/>
      <c r="E76" s="310" t="n"/>
      <c r="F76" s="505" t="n">
        <v>1</v>
      </c>
      <c r="G76" s="314">
        <f>VLOOKUP(F76,オッズデータ入力!AA$7:AB$25,2,FALSE)</f>
        <v/>
      </c>
      <c r="H76" s="506" t="n">
        <v>1</v>
      </c>
      <c r="I76" s="305">
        <f>VLOOKUP(H76,オッズデータ入力!AM$7:AN$25,2,FALSE)</f>
        <v/>
      </c>
      <c r="J76" s="505" t="n">
        <v>2</v>
      </c>
      <c r="K76" s="297">
        <f>VLOOKUP(J76,オッズデータ入力!AY$7:AZ$25,2,FALSE)</f>
        <v/>
      </c>
      <c r="L76" s="275" t="n"/>
      <c r="M76" s="4" t="n"/>
      <c r="N76" s="4">
        <f>IF(F76&lt;=2,"A",IF(F76&lt;=5,"B",IF(F76&lt;=7,"C",IF(F76&lt;=10,"D",IF(F76&lt;=13,"E",IF(F76&lt;=16,"F",IF(F76&lt;=18,"G")))))))</f>
        <v/>
      </c>
      <c r="O76" s="4">
        <f>IF(H76&lt;=2,"A",IF(H76&lt;=5,"B",IF(H76&lt;=7,"C",IF(H76&lt;=10,"D",IF(H76&lt;=13,"E",IF(H76&lt;=16,"F",IF(H76&lt;=18,"G")))))))</f>
        <v/>
      </c>
      <c r="P76" s="3">
        <f>IF(J76&lt;=2,"A",IF(J76&lt;=5,"B",IF(J76&lt;=7,"C",IF(J76&lt;=10,"D",IF(J76&lt;=13,"E",IF(J76&lt;=16,"F",IF(J76&lt;=18,"G")))))))</f>
        <v/>
      </c>
      <c r="Q76" s="326" t="n"/>
      <c r="R76" s="327" t="n"/>
      <c r="S76" s="327">
        <f>G76</f>
        <v/>
      </c>
      <c r="T76" s="327">
        <f>I76</f>
        <v/>
      </c>
      <c r="U76" s="336">
        <f>K76</f>
        <v/>
      </c>
      <c r="V76" s="245" t="inlineStr">
        <is>
          <t>14~20</t>
        </is>
      </c>
      <c r="W76" s="275">
        <f>SUM(B76,D76,F76,H76,J76)</f>
        <v/>
      </c>
      <c r="X76" s="4" t="inlineStr">
        <is>
          <t>+</t>
        </is>
      </c>
      <c r="Y76" s="276" t="n"/>
    </row>
    <row r="77">
      <c r="A77" s="245" t="n">
        <v>75</v>
      </c>
      <c r="B77" s="255" t="n"/>
      <c r="C77" s="300" t="n"/>
      <c r="D77" s="294" t="n"/>
      <c r="E77" s="310" t="n"/>
      <c r="F77" s="505" t="n">
        <v>1</v>
      </c>
      <c r="G77" s="314">
        <f>VLOOKUP(F77,オッズデータ入力!AA$7:AB$25,2,FALSE)</f>
        <v/>
      </c>
      <c r="H77" s="506" t="n">
        <v>2</v>
      </c>
      <c r="I77" s="305">
        <f>VLOOKUP(H77,オッズデータ入力!AM$7:AN$25,2,FALSE)</f>
        <v/>
      </c>
      <c r="J77" s="505" t="n">
        <v>1</v>
      </c>
      <c r="K77" s="297">
        <f>VLOOKUP(J77,オッズデータ入力!AY$7:AZ$25,2,FALSE)</f>
        <v/>
      </c>
      <c r="L77" s="275" t="n"/>
      <c r="M77" s="4" t="n"/>
      <c r="N77" s="4">
        <f>IF(F77&lt;=2,"A",IF(F77&lt;=5,"B",IF(F77&lt;=7,"C",IF(F77&lt;=10,"D",IF(F77&lt;=13,"E",IF(F77&lt;=16,"F",IF(F77&lt;=18,"G")))))))</f>
        <v/>
      </c>
      <c r="O77" s="4">
        <f>IF(H77&lt;=2,"A",IF(H77&lt;=5,"B",IF(H77&lt;=7,"C",IF(H77&lt;=10,"D",IF(H77&lt;=13,"E",IF(H77&lt;=16,"F",IF(H77&lt;=18,"G")))))))</f>
        <v/>
      </c>
      <c r="P77" s="3">
        <f>IF(J77&lt;=2,"A",IF(J77&lt;=5,"B",IF(J77&lt;=7,"C",IF(J77&lt;=10,"D",IF(J77&lt;=13,"E",IF(J77&lt;=16,"F",IF(J77&lt;=18,"G")))))))</f>
        <v/>
      </c>
      <c r="Q77" s="326" t="n"/>
      <c r="R77" s="327" t="n"/>
      <c r="S77" s="327">
        <f>G77</f>
        <v/>
      </c>
      <c r="T77" s="327">
        <f>I77</f>
        <v/>
      </c>
      <c r="U77" s="336">
        <f>K77</f>
        <v/>
      </c>
      <c r="V77" s="245" t="inlineStr">
        <is>
          <t>14~20</t>
        </is>
      </c>
      <c r="W77" s="275">
        <f>SUM(B77,D77,F77,H77,J77)</f>
        <v/>
      </c>
      <c r="X77" s="4" t="inlineStr">
        <is>
          <t>+</t>
        </is>
      </c>
      <c r="Y77" s="276" t="n"/>
    </row>
    <row r="78">
      <c r="A78" s="245" t="n">
        <v>76</v>
      </c>
      <c r="B78" s="255" t="n"/>
      <c r="C78" s="300" t="n"/>
      <c r="D78" s="294" t="n"/>
      <c r="E78" s="310" t="n"/>
      <c r="F78" s="505" t="n">
        <v>1</v>
      </c>
      <c r="G78" s="314">
        <f>VLOOKUP(F78,オッズデータ入力!AA$7:AB$25,2,FALSE)</f>
        <v/>
      </c>
      <c r="H78" s="506" t="n">
        <v>2</v>
      </c>
      <c r="I78" s="305">
        <f>VLOOKUP(H78,オッズデータ入力!AM$7:AN$25,2,FALSE)</f>
        <v/>
      </c>
      <c r="J78" s="505" t="n">
        <v>2</v>
      </c>
      <c r="K78" s="297">
        <f>VLOOKUP(J78,オッズデータ入力!AY$7:AZ$25,2,FALSE)</f>
        <v/>
      </c>
      <c r="L78" s="275" t="n"/>
      <c r="M78" s="4" t="n"/>
      <c r="N78" s="4">
        <f>IF(F78&lt;=2,"A",IF(F78&lt;=5,"B",IF(F78&lt;=7,"C",IF(F78&lt;=10,"D",IF(F78&lt;=13,"E",IF(F78&lt;=16,"F",IF(F78&lt;=18,"G")))))))</f>
        <v/>
      </c>
      <c r="O78" s="4">
        <f>IF(H78&lt;=2,"A",IF(H78&lt;=5,"B",IF(H78&lt;=7,"C",IF(H78&lt;=10,"D",IF(H78&lt;=13,"E",IF(H78&lt;=16,"F",IF(H78&lt;=18,"G")))))))</f>
        <v/>
      </c>
      <c r="P78" s="3">
        <f>IF(J78&lt;=2,"A",IF(J78&lt;=5,"B",IF(J78&lt;=7,"C",IF(J78&lt;=10,"D",IF(J78&lt;=13,"E",IF(J78&lt;=16,"F",IF(J78&lt;=18,"G")))))))</f>
        <v/>
      </c>
      <c r="Q78" s="326" t="n"/>
      <c r="R78" s="327" t="n"/>
      <c r="S78" s="327">
        <f>G78</f>
        <v/>
      </c>
      <c r="T78" s="327">
        <f>I78</f>
        <v/>
      </c>
      <c r="U78" s="336">
        <f>K78</f>
        <v/>
      </c>
      <c r="V78" s="245" t="inlineStr">
        <is>
          <t>14~20</t>
        </is>
      </c>
      <c r="W78" s="275">
        <f>SUM(B78,D78,F78,H78,J78)</f>
        <v/>
      </c>
      <c r="X78" s="4" t="inlineStr">
        <is>
          <t>+</t>
        </is>
      </c>
      <c r="Y78" s="276" t="n"/>
    </row>
    <row r="79">
      <c r="A79" s="245" t="n">
        <v>77</v>
      </c>
      <c r="B79" s="255" t="n"/>
      <c r="C79" s="300" t="n"/>
      <c r="D79" s="294" t="n"/>
      <c r="E79" s="310" t="n"/>
      <c r="F79" s="500" t="n">
        <v>2</v>
      </c>
      <c r="G79" s="286">
        <f>VLOOKUP(F79,オッズデータ入力!AA$7:AB$25,2,FALSE)</f>
        <v/>
      </c>
      <c r="H79" s="507" t="n">
        <v>1</v>
      </c>
      <c r="I79" s="306">
        <f>VLOOKUP(H79,オッズデータ入力!AM$7:AN$25,2,FALSE)</f>
        <v/>
      </c>
      <c r="J79" s="500" t="n">
        <v>1</v>
      </c>
      <c r="K79" s="297">
        <f>VLOOKUP(J79,オッズデータ入力!AY$7:AZ$25,2,FALSE)</f>
        <v/>
      </c>
      <c r="L79" s="275" t="n"/>
      <c r="M79" s="4" t="n"/>
      <c r="N79" s="4">
        <f>IF(F79&lt;=2,"A",IF(F79&lt;=5,"B",IF(F79&lt;=7,"C",IF(F79&lt;=10,"D",IF(F79&lt;=13,"E",IF(F79&lt;=16,"F",IF(F79&lt;=18,"G")))))))</f>
        <v/>
      </c>
      <c r="O79" s="4">
        <f>IF(H79&lt;=2,"A",IF(H79&lt;=5,"B",IF(H79&lt;=7,"C",IF(H79&lt;=10,"D",IF(H79&lt;=13,"E",IF(H79&lt;=16,"F",IF(H79&lt;=18,"G")))))))</f>
        <v/>
      </c>
      <c r="P79" s="3">
        <f>IF(J79&lt;=2,"A",IF(J79&lt;=5,"B",IF(J79&lt;=7,"C",IF(J79&lt;=10,"D",IF(J79&lt;=13,"E",IF(J79&lt;=16,"F",IF(J79&lt;=18,"G")))))))</f>
        <v/>
      </c>
      <c r="Q79" s="326" t="n"/>
      <c r="R79" s="327" t="n"/>
      <c r="S79" s="327">
        <f>G79</f>
        <v/>
      </c>
      <c r="T79" s="327">
        <f>I79</f>
        <v/>
      </c>
      <c r="U79" s="336">
        <f>K79</f>
        <v/>
      </c>
      <c r="V79" s="245" t="inlineStr">
        <is>
          <t>14~20</t>
        </is>
      </c>
      <c r="W79" s="275">
        <f>SUM(B79,D79,F79,H79,J79)</f>
        <v/>
      </c>
      <c r="X79" s="4" t="inlineStr">
        <is>
          <t>+</t>
        </is>
      </c>
      <c r="Y79" s="276" t="n"/>
    </row>
    <row r="80">
      <c r="A80" s="245" t="n">
        <v>78</v>
      </c>
      <c r="B80" s="256" t="n"/>
      <c r="C80" s="301" t="n"/>
      <c r="D80" s="295" t="n"/>
      <c r="E80" s="311" t="n"/>
      <c r="F80" s="500" t="n">
        <v>2</v>
      </c>
      <c r="G80" s="286">
        <f>VLOOKUP(F80,オッズデータ入力!AA$7:AB$25,2,FALSE)</f>
        <v/>
      </c>
      <c r="H80" s="507" t="n">
        <v>1</v>
      </c>
      <c r="I80" s="306">
        <f>VLOOKUP(H80,オッズデータ入力!AM$7:AN$25,2,FALSE)</f>
        <v/>
      </c>
      <c r="J80" s="500" t="n">
        <v>2</v>
      </c>
      <c r="K80" s="283">
        <f>VLOOKUP(J80,オッズデータ入力!AY$7:AZ$25,2,FALSE)</f>
        <v/>
      </c>
      <c r="L80" s="275" t="n"/>
      <c r="M80" s="4" t="n"/>
      <c r="N80" s="4">
        <f>IF(F80&lt;=2,"A",IF(F80&lt;=5,"B",IF(F80&lt;=7,"C",IF(F80&lt;=10,"D",IF(F80&lt;=13,"E",IF(F80&lt;=16,"F",IF(F80&lt;=18,"G")))))))</f>
        <v/>
      </c>
      <c r="O80" s="4">
        <f>IF(H80&lt;=2,"A",IF(H80&lt;=5,"B",IF(H80&lt;=7,"C",IF(H80&lt;=10,"D",IF(H80&lt;=13,"E",IF(H80&lt;=16,"F",IF(H80&lt;=18,"G")))))))</f>
        <v/>
      </c>
      <c r="P80" s="3">
        <f>IF(J80&lt;=2,"A",IF(J80&lt;=5,"B",IF(J80&lt;=7,"C",IF(J80&lt;=10,"D",IF(J80&lt;=13,"E",IF(J80&lt;=16,"F",IF(J80&lt;=18,"G")))))))</f>
        <v/>
      </c>
      <c r="Q80" s="326" t="n"/>
      <c r="R80" s="327" t="n"/>
      <c r="S80" s="327">
        <f>G80</f>
        <v/>
      </c>
      <c r="T80" s="327">
        <f>I80</f>
        <v/>
      </c>
      <c r="U80" s="336">
        <f>K80</f>
        <v/>
      </c>
      <c r="V80" s="245" t="inlineStr">
        <is>
          <t>14~20</t>
        </is>
      </c>
      <c r="W80" s="275">
        <f>SUM(B80,D80,F80,H80,J80)</f>
        <v/>
      </c>
      <c r="X80" s="4" t="inlineStr">
        <is>
          <t>+</t>
        </is>
      </c>
      <c r="Y80" s="276" t="n"/>
    </row>
    <row r="81">
      <c r="A81" s="245" t="n">
        <v>79</v>
      </c>
      <c r="B81" s="256" t="n"/>
      <c r="C81" s="301" t="n"/>
      <c r="D81" s="295" t="n"/>
      <c r="E81" s="312" t="n"/>
      <c r="F81" s="508" t="n">
        <v>2</v>
      </c>
      <c r="G81" s="315">
        <f>VLOOKUP(F81,オッズデータ入力!AA$7:AB$25,2,FALSE)</f>
        <v/>
      </c>
      <c r="H81" s="509" t="n">
        <v>2</v>
      </c>
      <c r="I81" s="307">
        <f>VLOOKUP(H81,オッズデータ入力!AM$7:AN$25,2,FALSE)</f>
        <v/>
      </c>
      <c r="J81" s="508" t="n">
        <v>1</v>
      </c>
      <c r="K81" s="298">
        <f>VLOOKUP(J81,オッズデータ入力!AY$7:AZ$25,2,FALSE)</f>
        <v/>
      </c>
      <c r="L81" s="275" t="n"/>
      <c r="M81" s="4" t="n"/>
      <c r="N81" s="4">
        <f>IF(F81&lt;=2,"A",IF(F81&lt;=5,"B",IF(F81&lt;=7,"C",IF(F81&lt;=10,"D",IF(F81&lt;=13,"E",IF(F81&lt;=16,"F",IF(F81&lt;=18,"G")))))))</f>
        <v/>
      </c>
      <c r="O81" s="4">
        <f>IF(H81&lt;=2,"A",IF(H81&lt;=5,"B",IF(H81&lt;=7,"C",IF(H81&lt;=10,"D",IF(H81&lt;=13,"E",IF(H81&lt;=16,"F",IF(H81&lt;=18,"G")))))))</f>
        <v/>
      </c>
      <c r="P81" s="3">
        <f>IF(J81&lt;=2,"A",IF(J81&lt;=5,"B",IF(J81&lt;=7,"C",IF(J81&lt;=10,"D",IF(J81&lt;=13,"E",IF(J81&lt;=16,"F",IF(J81&lt;=18,"G")))))))</f>
        <v/>
      </c>
      <c r="Q81" s="326" t="n"/>
      <c r="R81" s="327" t="n"/>
      <c r="S81" s="327">
        <f>G81</f>
        <v/>
      </c>
      <c r="T81" s="327">
        <f>I81</f>
        <v/>
      </c>
      <c r="U81" s="336">
        <f>K81</f>
        <v/>
      </c>
      <c r="V81" s="245" t="inlineStr">
        <is>
          <t>14~20</t>
        </is>
      </c>
      <c r="W81" s="275">
        <f>SUM(B81,D81,F81,H81,J81)</f>
        <v/>
      </c>
      <c r="X81" s="4" t="inlineStr">
        <is>
          <t>+</t>
        </is>
      </c>
      <c r="Y81" s="276" t="n"/>
    </row>
    <row r="82" ht="24.75" customHeight="1" thickBot="1">
      <c r="A82" s="249" t="n">
        <v>80</v>
      </c>
      <c r="B82" s="257" t="n"/>
      <c r="C82" s="303" t="n"/>
      <c r="D82" s="296" t="n"/>
      <c r="E82" s="313" t="n"/>
      <c r="F82" s="502" t="n">
        <v>2</v>
      </c>
      <c r="G82" s="287">
        <f>VLOOKUP(F82,オッズデータ入力!AA$7:AB$25,2,FALSE)</f>
        <v/>
      </c>
      <c r="H82" s="510" t="n">
        <v>2</v>
      </c>
      <c r="I82" s="308">
        <f>VLOOKUP(H82,オッズデータ入力!AM$7:AN$25,2,FALSE)</f>
        <v/>
      </c>
      <c r="J82" s="502" t="n">
        <v>2</v>
      </c>
      <c r="K82" s="284">
        <f>VLOOKUP(J82,オッズデータ入力!AY$7:AZ$25,2,FALSE)</f>
        <v/>
      </c>
      <c r="L82" s="277" t="n"/>
      <c r="M82" s="260" t="n"/>
      <c r="N82" s="260">
        <f>IF(F82&lt;=2,"A",IF(F82&lt;=5,"B",IF(F82&lt;=7,"C",IF(F82&lt;=10,"D",IF(F82&lt;=13,"E",IF(F82&lt;=16,"F",IF(F82&lt;=18,"G")))))))</f>
        <v/>
      </c>
      <c r="O82" s="260">
        <f>IF(H82&lt;=2,"A",IF(H82&lt;=5,"B",IF(H82&lt;=7,"C",IF(H82&lt;=10,"D",IF(H82&lt;=13,"E",IF(H82&lt;=16,"F",IF(H82&lt;=18,"G")))))))</f>
        <v/>
      </c>
      <c r="P82" s="265">
        <f>IF(J82&lt;=2,"A",IF(J82&lt;=5,"B",IF(J82&lt;=7,"C",IF(J82&lt;=10,"D",IF(J82&lt;=13,"E",IF(J82&lt;=16,"F",IF(J82&lt;=18,"G")))))))</f>
        <v/>
      </c>
      <c r="Q82" s="330" t="n"/>
      <c r="R82" s="331" t="n"/>
      <c r="S82" s="331">
        <f>G82</f>
        <v/>
      </c>
      <c r="T82" s="331">
        <f>I82</f>
        <v/>
      </c>
      <c r="U82" s="337">
        <f>K82</f>
        <v/>
      </c>
      <c r="V82" s="249" t="inlineStr">
        <is>
          <t>14~20</t>
        </is>
      </c>
      <c r="W82" s="277">
        <f>SUM(B82,D82,F82,H82,J82)</f>
        <v/>
      </c>
      <c r="X82" s="260" t="inlineStr">
        <is>
          <t>+</t>
        </is>
      </c>
      <c r="Y82" s="278" t="n"/>
    </row>
  </sheetData>
  <mergeCells count="6">
    <mergeCell ref="F2:G2"/>
    <mergeCell ref="B2:C2"/>
    <mergeCell ref="H2:I2"/>
    <mergeCell ref="D2:E2"/>
    <mergeCell ref="J2:K2"/>
    <mergeCell ref="W2:Y2"/>
  </mergeCells>
  <pageMargins left="0.51" right="0.13" top="0.36" bottom="0.2" header="0.3149606299212598" footer="0.3149606299212598"/>
  <pageSetup orientation="portrait" paperSize="9" scale="41" horizontalDpi="4294967293" verticalDpi="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2:AK25"/>
  <sheetViews>
    <sheetView zoomScale="40" zoomScaleNormal="40" workbookViewId="0">
      <selection activeCell="H2" sqref="H2"/>
    </sheetView>
  </sheetViews>
  <sheetFormatPr baseColWidth="8" defaultRowHeight="33"/>
  <cols>
    <col width="4.25" customWidth="1" style="2" min="1" max="1"/>
    <col width="12" customWidth="1" style="2" min="2" max="2"/>
    <col width="9" customWidth="1" style="112" min="3" max="7"/>
    <col width="13.875" bestFit="1" customWidth="1" style="113" min="8" max="9"/>
    <col width="14.875" bestFit="1" customWidth="1" style="113" min="10" max="12"/>
    <col width="9" customWidth="1" style="2" min="13" max="14"/>
    <col width="9" customWidth="1" style="113" min="15" max="15"/>
    <col width="12.5" customWidth="1" style="113" min="16" max="20"/>
    <col width="11.25" customWidth="1" style="188" min="21" max="21"/>
    <col width="9" customWidth="1" style="113" min="22" max="33"/>
    <col width="11.875" customWidth="1" style="113" min="34" max="34"/>
    <col width="9" customWidth="1" style="113" min="35" max="35"/>
    <col width="13.125" customWidth="1" style="113" min="36" max="36"/>
    <col width="9" customWidth="1" style="113" min="37" max="37"/>
  </cols>
  <sheetData>
    <row r="1" ht="33.75" customHeight="1" thickBot="1"/>
    <row r="2" ht="50.25" customHeight="1" thickBot="1">
      <c r="A2" s="107" t="n">
        <v>1</v>
      </c>
      <c r="B2" s="111" t="n">
        <v>45585</v>
      </c>
      <c r="C2" s="153" t="n">
        <v>1</v>
      </c>
      <c r="D2" s="154" t="n">
        <v>1</v>
      </c>
      <c r="E2" s="154" t="n">
        <v>7</v>
      </c>
      <c r="F2" s="154" t="n">
        <v>12</v>
      </c>
      <c r="G2" s="154" t="n">
        <v>13</v>
      </c>
      <c r="H2" s="515" t="n">
        <v>1</v>
      </c>
      <c r="I2" s="515" t="n">
        <v>1</v>
      </c>
      <c r="J2" s="515" t="n">
        <v>1</v>
      </c>
      <c r="K2" s="515" t="n">
        <v>8</v>
      </c>
      <c r="L2" s="515" t="n">
        <v>2</v>
      </c>
      <c r="M2" s="158" t="n">
        <v>745990</v>
      </c>
      <c r="N2" s="516" t="n">
        <v>631</v>
      </c>
      <c r="O2" s="163" t="n">
        <v>13</v>
      </c>
      <c r="P2" s="517">
        <f>VLOOKUP(C2,オッズデータ入力!C$7:C$25,2,FALSE)</f>
        <v/>
      </c>
      <c r="Q2" s="517">
        <f>VLOOKUP(D2,オッズデータ入力!O$7:P$25,2,FALSE)</f>
        <v/>
      </c>
      <c r="R2" s="517">
        <f>VLOOKUP(E2,オッズデータ入力!AA$8:AB$25,2,FALSE)</f>
        <v/>
      </c>
      <c r="S2" s="517">
        <f>VLOOKUP(F2,オッズデータ入力!AM$8:AN$25,2,FALSE)</f>
        <v/>
      </c>
      <c r="T2" s="517">
        <f>VLOOKUP(G2,オッズデータ入力!AY$8:AZ$25,2,FALSE)</f>
        <v/>
      </c>
      <c r="U2" s="192">
        <f>SUM(P2:T2)</f>
        <v/>
      </c>
      <c r="V2" s="159" t="inlineStr">
        <is>
          <t>A</t>
        </is>
      </c>
      <c r="W2" s="160" t="inlineStr">
        <is>
          <t>A</t>
        </is>
      </c>
      <c r="X2" s="160" t="inlineStr">
        <is>
          <t>A</t>
        </is>
      </c>
      <c r="Y2" s="160" t="inlineStr">
        <is>
          <t>D</t>
        </is>
      </c>
      <c r="Z2" s="160" t="inlineStr">
        <is>
          <t>A</t>
        </is>
      </c>
      <c r="AA2" s="147" t="n">
        <v>4</v>
      </c>
      <c r="AB2" s="109" t="n">
        <v>0</v>
      </c>
      <c r="AC2" s="109" t="n">
        <v>0</v>
      </c>
      <c r="AD2" s="109" t="n">
        <v>1</v>
      </c>
      <c r="AE2" s="109" t="n">
        <v>0</v>
      </c>
      <c r="AF2" s="109" t="n">
        <v>0</v>
      </c>
      <c r="AG2" s="109" t="n">
        <v>0</v>
      </c>
      <c r="AH2" s="151" t="inlineStr">
        <is>
          <t>AAADA</t>
        </is>
      </c>
      <c r="AI2" s="152" t="n">
        <v>5</v>
      </c>
      <c r="AJ2" s="150" t="inlineStr">
        <is>
          <t>1-1-1-8-2</t>
        </is>
      </c>
      <c r="AK2" s="110" t="n">
        <v>1</v>
      </c>
    </row>
    <row r="3" ht="50.25" customHeight="1" thickBot="1">
      <c r="A3" s="107" t="n">
        <v>2</v>
      </c>
      <c r="B3" s="111" t="n">
        <v>44641</v>
      </c>
      <c r="C3" s="153" t="n">
        <v>2</v>
      </c>
      <c r="D3" s="154" t="n">
        <v>1</v>
      </c>
      <c r="E3" s="154" t="n">
        <v>7</v>
      </c>
      <c r="F3" s="154" t="n">
        <v>13</v>
      </c>
      <c r="G3" s="154" t="n">
        <v>1</v>
      </c>
      <c r="H3" s="515" t="n">
        <v>4</v>
      </c>
      <c r="I3" s="515" t="n">
        <v>1</v>
      </c>
      <c r="J3" s="515" t="n">
        <v>1</v>
      </c>
      <c r="K3" s="515" t="n">
        <v>1</v>
      </c>
      <c r="L3" s="515" t="n">
        <v>2</v>
      </c>
      <c r="M3" s="158" t="n">
        <v>72230</v>
      </c>
      <c r="N3" s="516" t="n">
        <v>6821</v>
      </c>
      <c r="O3" s="163" t="n">
        <v>9</v>
      </c>
      <c r="P3" s="517">
        <f>VLOOKUP(C3,オッズデータ入力!C$7:C$25,2,FALSE)</f>
        <v/>
      </c>
      <c r="Q3" s="517">
        <f>VLOOKUP(D3,オッズデータ入力!O$7:P$25,2,FALSE)</f>
        <v/>
      </c>
      <c r="R3" s="517">
        <f>VLOOKUP(E3,オッズデータ入力!AA$8:AB$25,2,FALSE)</f>
        <v/>
      </c>
      <c r="S3" s="517">
        <f>VLOOKUP(F3,オッズデータ入力!AM$8:AN$25,2,FALSE)</f>
        <v/>
      </c>
      <c r="T3" s="517">
        <f>VLOOKUP(G3,オッズデータ入力!AY$8:AZ$25,2,FALSE)</f>
        <v/>
      </c>
      <c r="U3" s="192">
        <f>SUM(P3:T3)</f>
        <v/>
      </c>
      <c r="V3" s="159" t="inlineStr">
        <is>
          <t>B</t>
        </is>
      </c>
      <c r="W3" s="160" t="inlineStr">
        <is>
          <t>A</t>
        </is>
      </c>
      <c r="X3" s="160" t="inlineStr">
        <is>
          <t>A</t>
        </is>
      </c>
      <c r="Y3" s="160" t="inlineStr">
        <is>
          <t>A</t>
        </is>
      </c>
      <c r="Z3" s="160" t="inlineStr">
        <is>
          <t>A</t>
        </is>
      </c>
      <c r="AA3" s="147" t="n">
        <v>4</v>
      </c>
      <c r="AB3" s="109" t="n">
        <v>1</v>
      </c>
      <c r="AC3" s="109" t="n">
        <v>0</v>
      </c>
      <c r="AD3" s="109" t="n">
        <v>0</v>
      </c>
      <c r="AE3" s="109" t="n">
        <v>0</v>
      </c>
      <c r="AF3" s="109" t="n">
        <v>0</v>
      </c>
      <c r="AG3" s="109" t="n">
        <v>0</v>
      </c>
      <c r="AH3" s="148" t="inlineStr">
        <is>
          <t>BAAAA</t>
        </is>
      </c>
      <c r="AI3" s="149" t="n">
        <v>5</v>
      </c>
      <c r="AJ3" s="150" t="inlineStr">
        <is>
          <t>4-1-1-1-2</t>
        </is>
      </c>
      <c r="AK3" s="110" t="n">
        <v>1</v>
      </c>
    </row>
    <row r="4" ht="50.25" customHeight="1" thickBot="1">
      <c r="A4" s="107" t="n">
        <v>3</v>
      </c>
      <c r="B4" s="111" t="n">
        <v>41287</v>
      </c>
      <c r="C4" s="153" t="n">
        <v>8</v>
      </c>
      <c r="D4" s="154" t="n">
        <v>2</v>
      </c>
      <c r="E4" s="154" t="n">
        <v>13</v>
      </c>
      <c r="F4" s="154" t="n">
        <v>8</v>
      </c>
      <c r="G4" s="154" t="n">
        <v>2</v>
      </c>
      <c r="H4" s="515" t="n">
        <v>1</v>
      </c>
      <c r="I4" s="515" t="n">
        <v>2</v>
      </c>
      <c r="J4" s="515" t="n">
        <v>1</v>
      </c>
      <c r="K4" s="515" t="n">
        <v>1</v>
      </c>
      <c r="L4" s="515" t="n">
        <v>10</v>
      </c>
      <c r="M4" s="158" t="n">
        <v>384580</v>
      </c>
      <c r="N4" s="516" t="n">
        <v>1410</v>
      </c>
      <c r="O4" s="163" t="n">
        <v>15</v>
      </c>
      <c r="P4" s="517">
        <f>VLOOKUP(C4,オッズデータ入力!C$7:C$25,2,FALSE)</f>
        <v/>
      </c>
      <c r="Q4" s="517">
        <f>VLOOKUP(D4,オッズデータ入力!O$7:P$25,2,FALSE)</f>
        <v/>
      </c>
      <c r="R4" s="517">
        <f>VLOOKUP(E4,オッズデータ入力!AA$8:AB$25,2,FALSE)</f>
        <v/>
      </c>
      <c r="S4" s="517">
        <f>VLOOKUP(F4,オッズデータ入力!AM$8:AN$25,2,FALSE)</f>
        <v/>
      </c>
      <c r="T4" s="517">
        <f>VLOOKUP(G4,オッズデータ入力!AY$8:AZ$25,2,FALSE)</f>
        <v/>
      </c>
      <c r="U4" s="192">
        <f>SUM(P4:T4)</f>
        <v/>
      </c>
      <c r="V4" s="159" t="inlineStr">
        <is>
          <t>A</t>
        </is>
      </c>
      <c r="W4" s="160" t="inlineStr">
        <is>
          <t>A</t>
        </is>
      </c>
      <c r="X4" s="160" t="inlineStr">
        <is>
          <t>A</t>
        </is>
      </c>
      <c r="Y4" s="160" t="inlineStr">
        <is>
          <t>A</t>
        </is>
      </c>
      <c r="Z4" s="160" t="inlineStr">
        <is>
          <t>D</t>
        </is>
      </c>
      <c r="AA4" s="147" t="n">
        <v>4</v>
      </c>
      <c r="AB4" s="109" t="n">
        <v>0</v>
      </c>
      <c r="AC4" s="109" t="n">
        <v>0</v>
      </c>
      <c r="AD4" s="109" t="n">
        <v>1</v>
      </c>
      <c r="AE4" s="109" t="n">
        <v>0</v>
      </c>
      <c r="AF4" s="109" t="n">
        <v>0</v>
      </c>
      <c r="AG4" s="109" t="n">
        <v>0</v>
      </c>
      <c r="AH4" s="150" t="inlineStr">
        <is>
          <t>AAAAD</t>
        </is>
      </c>
      <c r="AI4" s="109" t="n">
        <v>3</v>
      </c>
      <c r="AJ4" s="150" t="inlineStr">
        <is>
          <t>1-2-1-1-10</t>
        </is>
      </c>
      <c r="AK4" s="110" t="n">
        <v>1</v>
      </c>
    </row>
    <row r="5" ht="50.25" customHeight="1" thickBot="1">
      <c r="A5" s="107" t="n">
        <v>4</v>
      </c>
      <c r="B5" s="111" t="n">
        <v>45718</v>
      </c>
      <c r="C5" s="153" t="n">
        <v>8</v>
      </c>
      <c r="D5" s="154" t="n">
        <v>1</v>
      </c>
      <c r="E5" s="154" t="n">
        <v>12</v>
      </c>
      <c r="F5" s="154" t="n">
        <v>2</v>
      </c>
      <c r="G5" s="154" t="n">
        <v>1</v>
      </c>
      <c r="H5" s="518" t="n">
        <v>2</v>
      </c>
      <c r="I5" s="518" t="n">
        <v>2</v>
      </c>
      <c r="J5" s="518" t="n">
        <v>8</v>
      </c>
      <c r="K5" s="518" t="n">
        <v>9</v>
      </c>
      <c r="L5" s="518" t="n">
        <v>2</v>
      </c>
      <c r="M5" s="158" t="n">
        <v>4962620</v>
      </c>
      <c r="N5" s="516" t="n">
        <v>128</v>
      </c>
      <c r="O5" s="164" t="n">
        <v>23</v>
      </c>
      <c r="P5" s="517">
        <f>VLOOKUP(C5,オッズデータ入力!C$7:C$25,2,FALSE)</f>
        <v/>
      </c>
      <c r="Q5" s="517">
        <f>VLOOKUP(D5,オッズデータ入力!O$7:P$25,2,FALSE)</f>
        <v/>
      </c>
      <c r="R5" s="517">
        <f>VLOOKUP(E5,オッズデータ入力!AA$8:AB$25,2,FALSE)</f>
        <v/>
      </c>
      <c r="S5" s="517">
        <f>VLOOKUP(F5,オッズデータ入力!AM$8:AN$25,2,FALSE)</f>
        <v/>
      </c>
      <c r="T5" s="517">
        <f>VLOOKUP(G5,オッズデータ入力!AY$8:AZ$25,2,FALSE)</f>
        <v/>
      </c>
      <c r="U5" s="192">
        <f>SUM(P5:T5)</f>
        <v/>
      </c>
      <c r="V5" s="159" t="inlineStr">
        <is>
          <t>A</t>
        </is>
      </c>
      <c r="W5" s="160" t="inlineStr">
        <is>
          <t>A</t>
        </is>
      </c>
      <c r="X5" s="160" t="inlineStr">
        <is>
          <t>D</t>
        </is>
      </c>
      <c r="Y5" s="160" t="inlineStr">
        <is>
          <t>D</t>
        </is>
      </c>
      <c r="Z5" s="160" t="inlineStr">
        <is>
          <t>A</t>
        </is>
      </c>
      <c r="AA5" s="147" t="n">
        <v>3</v>
      </c>
      <c r="AB5" s="109" t="n">
        <v>0</v>
      </c>
      <c r="AC5" s="109" t="n">
        <v>0</v>
      </c>
      <c r="AD5" s="109" t="n">
        <v>2</v>
      </c>
      <c r="AE5" s="109" t="n">
        <v>0</v>
      </c>
      <c r="AF5" s="109" t="n">
        <v>0</v>
      </c>
      <c r="AG5" s="109" t="n">
        <v>0</v>
      </c>
      <c r="AH5" s="150" t="inlineStr">
        <is>
          <t>AADDA</t>
        </is>
      </c>
      <c r="AI5" s="109" t="n">
        <v>2</v>
      </c>
      <c r="AJ5" s="150" t="inlineStr">
        <is>
          <t>2-2-8-9-2</t>
        </is>
      </c>
      <c r="AK5" s="110" t="n">
        <v>1</v>
      </c>
    </row>
    <row r="6" ht="50.25" customHeight="1" thickBot="1">
      <c r="A6" s="107" t="n">
        <v>5</v>
      </c>
      <c r="B6" s="111" t="n">
        <v>44045</v>
      </c>
      <c r="C6" s="153" t="n">
        <v>8</v>
      </c>
      <c r="D6" s="154" t="n">
        <v>7</v>
      </c>
      <c r="E6" s="154" t="n">
        <v>13</v>
      </c>
      <c r="F6" s="154" t="n">
        <v>1</v>
      </c>
      <c r="G6" s="154" t="n">
        <v>12</v>
      </c>
      <c r="H6" s="515" t="n">
        <v>1</v>
      </c>
      <c r="I6" s="515" t="n">
        <v>4</v>
      </c>
      <c r="J6" s="515" t="n">
        <v>2</v>
      </c>
      <c r="K6" s="515" t="n">
        <v>11</v>
      </c>
      <c r="L6" s="515" t="n">
        <v>1</v>
      </c>
      <c r="M6" s="158" t="n">
        <v>2715060</v>
      </c>
      <c r="N6" s="516" t="n">
        <v>234</v>
      </c>
      <c r="O6" s="163" t="n">
        <v>19</v>
      </c>
      <c r="P6" s="517">
        <f>VLOOKUP(C6,オッズデータ入力!C$7:C$25,2,FALSE)</f>
        <v/>
      </c>
      <c r="Q6" s="517">
        <f>VLOOKUP(D6,オッズデータ入力!O$7:P$25,2,FALSE)</f>
        <v/>
      </c>
      <c r="R6" s="517">
        <f>VLOOKUP(E6,オッズデータ入力!AA$8:AB$25,2,FALSE)</f>
        <v/>
      </c>
      <c r="S6" s="517">
        <f>VLOOKUP(F6,オッズデータ入力!AM$8:AN$25,2,FALSE)</f>
        <v/>
      </c>
      <c r="T6" s="517">
        <f>VLOOKUP(G6,オッズデータ入力!AY$8:AZ$25,2,FALSE)</f>
        <v/>
      </c>
      <c r="U6" s="192">
        <f>SUM(P6:T6)</f>
        <v/>
      </c>
      <c r="V6" s="159" t="inlineStr">
        <is>
          <t>A</t>
        </is>
      </c>
      <c r="W6" s="160" t="inlineStr">
        <is>
          <t>B</t>
        </is>
      </c>
      <c r="X6" s="160" t="inlineStr">
        <is>
          <t>A</t>
        </is>
      </c>
      <c r="Y6" s="160" t="inlineStr">
        <is>
          <t>E</t>
        </is>
      </c>
      <c r="Z6" s="160" t="inlineStr">
        <is>
          <t>A</t>
        </is>
      </c>
      <c r="AA6" s="147" t="n">
        <v>3</v>
      </c>
      <c r="AB6" s="109" t="n">
        <v>1</v>
      </c>
      <c r="AC6" s="109" t="n">
        <v>0</v>
      </c>
      <c r="AD6" s="109" t="n">
        <v>0</v>
      </c>
      <c r="AE6" s="109" t="n">
        <v>1</v>
      </c>
      <c r="AF6" s="109" t="n">
        <v>0</v>
      </c>
      <c r="AG6" s="109" t="n">
        <v>0</v>
      </c>
      <c r="AH6" s="150" t="inlineStr">
        <is>
          <t>ABAEA</t>
        </is>
      </c>
      <c r="AI6" s="109" t="n">
        <v>1</v>
      </c>
      <c r="AJ6" s="150" t="inlineStr">
        <is>
          <t>1-4-2-11-1</t>
        </is>
      </c>
      <c r="AK6" s="110" t="n">
        <v>1</v>
      </c>
    </row>
    <row r="7" ht="50.25" customHeight="1" thickBot="1">
      <c r="A7" s="107" t="n">
        <v>6</v>
      </c>
      <c r="B7" s="111" t="n">
        <v>43009</v>
      </c>
      <c r="C7" s="153" t="n">
        <v>1</v>
      </c>
      <c r="D7" s="154" t="n">
        <v>7</v>
      </c>
      <c r="E7" s="154" t="n">
        <v>2</v>
      </c>
      <c r="F7" s="154" t="n">
        <v>12</v>
      </c>
      <c r="G7" s="154" t="n">
        <v>8</v>
      </c>
      <c r="H7" s="515" t="n">
        <v>1</v>
      </c>
      <c r="I7" s="515" t="n">
        <v>1</v>
      </c>
      <c r="J7" s="515" t="n">
        <v>8</v>
      </c>
      <c r="K7" s="515" t="n">
        <v>9</v>
      </c>
      <c r="L7" s="515" t="n">
        <v>1</v>
      </c>
      <c r="M7" s="158" t="n">
        <v>1437760</v>
      </c>
      <c r="N7" s="516" t="n">
        <v>279</v>
      </c>
      <c r="O7" s="163" t="n">
        <v>20</v>
      </c>
      <c r="P7" s="517">
        <f>VLOOKUP(C7,オッズデータ入力!C$7:C$25,2,FALSE)</f>
        <v/>
      </c>
      <c r="Q7" s="517">
        <f>VLOOKUP(D7,オッズデータ入力!O$7:P$25,2,FALSE)</f>
        <v/>
      </c>
      <c r="R7" s="517">
        <f>VLOOKUP(E7,オッズデータ入力!AA$8:AB$25,2,FALSE)</f>
        <v/>
      </c>
      <c r="S7" s="517">
        <f>VLOOKUP(F7,オッズデータ入力!AM$8:AN$25,2,FALSE)</f>
        <v/>
      </c>
      <c r="T7" s="517">
        <f>VLOOKUP(G7,オッズデータ入力!AY$8:AZ$25,2,FALSE)</f>
        <v/>
      </c>
      <c r="U7" s="192">
        <f>SUM(P7:T7)</f>
        <v/>
      </c>
      <c r="V7" s="159" t="inlineStr">
        <is>
          <t>A</t>
        </is>
      </c>
      <c r="W7" s="160" t="inlineStr">
        <is>
          <t>A</t>
        </is>
      </c>
      <c r="X7" s="160" t="inlineStr">
        <is>
          <t>D</t>
        </is>
      </c>
      <c r="Y7" s="160" t="inlineStr">
        <is>
          <t>D</t>
        </is>
      </c>
      <c r="Z7" s="160" t="inlineStr">
        <is>
          <t>A</t>
        </is>
      </c>
      <c r="AA7" s="147" t="n">
        <v>3</v>
      </c>
      <c r="AB7" s="109" t="n">
        <v>0</v>
      </c>
      <c r="AC7" s="109" t="n">
        <v>0</v>
      </c>
      <c r="AD7" s="109" t="n">
        <v>2</v>
      </c>
      <c r="AE7" s="109" t="n">
        <v>0</v>
      </c>
      <c r="AF7" s="109" t="n">
        <v>0</v>
      </c>
      <c r="AG7" s="109" t="n">
        <v>0</v>
      </c>
      <c r="AH7" s="150" t="inlineStr">
        <is>
          <t>AADDA</t>
        </is>
      </c>
      <c r="AI7" s="109" t="n">
        <v>2</v>
      </c>
      <c r="AJ7" s="150" t="inlineStr">
        <is>
          <t>1-1-8-9-1</t>
        </is>
      </c>
      <c r="AK7" s="110" t="n">
        <v>1</v>
      </c>
    </row>
    <row r="8" ht="50.25" customHeight="1" thickBot="1">
      <c r="A8" s="107" t="n">
        <v>7</v>
      </c>
      <c r="B8" s="111" t="n">
        <v>42268</v>
      </c>
      <c r="C8" s="153" t="n">
        <v>7</v>
      </c>
      <c r="D8" s="154" t="n">
        <v>12</v>
      </c>
      <c r="E8" s="154" t="n">
        <v>1</v>
      </c>
      <c r="F8" s="154" t="n">
        <v>2</v>
      </c>
      <c r="G8" s="154" t="n">
        <v>13</v>
      </c>
      <c r="H8" s="515" t="n">
        <v>3</v>
      </c>
      <c r="I8" s="515" t="n">
        <v>1</v>
      </c>
      <c r="J8" s="515" t="n">
        <v>1</v>
      </c>
      <c r="K8" s="515" t="n">
        <v>2</v>
      </c>
      <c r="L8" s="515" t="n">
        <v>6</v>
      </c>
      <c r="M8" s="158" t="n">
        <v>213060</v>
      </c>
      <c r="N8" s="516" t="n">
        <v>1580</v>
      </c>
      <c r="O8" s="163" t="n">
        <v>13</v>
      </c>
      <c r="P8" s="517">
        <f>VLOOKUP(C8,オッズデータ入力!C$7:C$25,2,FALSE)</f>
        <v/>
      </c>
      <c r="Q8" s="517">
        <f>VLOOKUP(D8,オッズデータ入力!O$7:P$25,2,FALSE)</f>
        <v/>
      </c>
      <c r="R8" s="517">
        <f>VLOOKUP(E8,オッズデータ入力!AA$8:AB$25,2,FALSE)</f>
        <v/>
      </c>
      <c r="S8" s="517">
        <f>VLOOKUP(F8,オッズデータ入力!AM$8:AN$25,2,FALSE)</f>
        <v/>
      </c>
      <c r="T8" s="517">
        <f>VLOOKUP(G8,オッズデータ入力!AY$8:AZ$25,2,FALSE)</f>
        <v/>
      </c>
      <c r="U8" s="192">
        <f>SUM(P8:T8)</f>
        <v/>
      </c>
      <c r="V8" s="159" t="inlineStr">
        <is>
          <t>B</t>
        </is>
      </c>
      <c r="W8" s="160" t="inlineStr">
        <is>
          <t>A</t>
        </is>
      </c>
      <c r="X8" s="160" t="inlineStr">
        <is>
          <t>A</t>
        </is>
      </c>
      <c r="Y8" s="160" t="inlineStr">
        <is>
          <t>A</t>
        </is>
      </c>
      <c r="Z8" s="160" t="inlineStr">
        <is>
          <t>C</t>
        </is>
      </c>
      <c r="AA8" s="147" t="n">
        <v>3</v>
      </c>
      <c r="AB8" s="109" t="n">
        <v>1</v>
      </c>
      <c r="AC8" s="109" t="n">
        <v>1</v>
      </c>
      <c r="AD8" s="109" t="n">
        <v>0</v>
      </c>
      <c r="AE8" s="109" t="n">
        <v>0</v>
      </c>
      <c r="AF8" s="109" t="n">
        <v>0</v>
      </c>
      <c r="AG8" s="109" t="n">
        <v>0</v>
      </c>
      <c r="AH8" s="150" t="inlineStr">
        <is>
          <t>BAAAC</t>
        </is>
      </c>
      <c r="AI8" s="109" t="n">
        <v>4</v>
      </c>
      <c r="AJ8" s="150" t="inlineStr">
        <is>
          <t>3-1-1-2-6</t>
        </is>
      </c>
      <c r="AK8" s="110" t="n">
        <v>1</v>
      </c>
    </row>
    <row r="9" ht="50.25" customHeight="1" thickBot="1">
      <c r="A9" s="107" t="n">
        <v>8</v>
      </c>
      <c r="B9" s="111" t="n">
        <v>41994</v>
      </c>
      <c r="C9" s="153" t="n">
        <v>12</v>
      </c>
      <c r="D9" s="154" t="n">
        <v>1</v>
      </c>
      <c r="E9" s="154" t="n">
        <v>12</v>
      </c>
      <c r="F9" s="154" t="n">
        <v>1</v>
      </c>
      <c r="G9" s="154" t="n">
        <v>2</v>
      </c>
      <c r="H9" s="515" t="n">
        <v>4</v>
      </c>
      <c r="I9" s="515" t="n">
        <v>5</v>
      </c>
      <c r="J9" s="515" t="n">
        <v>1</v>
      </c>
      <c r="K9" s="515" t="n">
        <v>1</v>
      </c>
      <c r="L9" s="515" t="n">
        <v>1</v>
      </c>
      <c r="M9" s="158" t="n">
        <v>368350</v>
      </c>
      <c r="N9" s="516" t="n">
        <v>1295</v>
      </c>
      <c r="O9" s="163" t="n">
        <v>12</v>
      </c>
      <c r="P9" s="517">
        <f>VLOOKUP(C9,オッズデータ入力!C$7:C$25,2,FALSE)</f>
        <v/>
      </c>
      <c r="Q9" s="517">
        <f>VLOOKUP(D9,オッズデータ入力!O$7:P$25,2,FALSE)</f>
        <v/>
      </c>
      <c r="R9" s="517">
        <f>VLOOKUP(E9,オッズデータ入力!AA$8:AB$25,2,FALSE)</f>
        <v/>
      </c>
      <c r="S9" s="517">
        <f>VLOOKUP(F9,オッズデータ入力!AM$8:AN$25,2,FALSE)</f>
        <v/>
      </c>
      <c r="T9" s="517">
        <f>VLOOKUP(G9,オッズデータ入力!AY$8:AZ$25,2,FALSE)</f>
        <v/>
      </c>
      <c r="U9" s="192">
        <f>SUM(P9:T9)</f>
        <v/>
      </c>
      <c r="V9" s="159" t="inlineStr">
        <is>
          <t>B</t>
        </is>
      </c>
      <c r="W9" s="160" t="inlineStr">
        <is>
          <t>B</t>
        </is>
      </c>
      <c r="X9" s="160" t="inlineStr">
        <is>
          <t>A</t>
        </is>
      </c>
      <c r="Y9" s="160" t="inlineStr">
        <is>
          <t>A</t>
        </is>
      </c>
      <c r="Z9" s="160" t="inlineStr">
        <is>
          <t>A</t>
        </is>
      </c>
      <c r="AA9" s="147" t="n">
        <v>3</v>
      </c>
      <c r="AB9" s="109" t="n">
        <v>2</v>
      </c>
      <c r="AC9" s="109" t="n">
        <v>0</v>
      </c>
      <c r="AD9" s="109" t="n">
        <v>0</v>
      </c>
      <c r="AE9" s="109" t="n">
        <v>0</v>
      </c>
      <c r="AF9" s="109" t="n">
        <v>0</v>
      </c>
      <c r="AG9" s="109" t="n">
        <v>0</v>
      </c>
      <c r="AH9" s="150" t="inlineStr">
        <is>
          <t>BBAAA</t>
        </is>
      </c>
      <c r="AI9" s="109" t="n">
        <v>9</v>
      </c>
      <c r="AJ9" s="150" t="inlineStr">
        <is>
          <t>4-5-1-1-1</t>
        </is>
      </c>
      <c r="AK9" s="110" t="n">
        <v>1</v>
      </c>
    </row>
    <row r="10" ht="50.25" customHeight="1" thickBot="1">
      <c r="A10" s="107" t="n">
        <v>9</v>
      </c>
      <c r="B10" s="111" t="n">
        <v>41497</v>
      </c>
      <c r="C10" s="153" t="n">
        <v>2</v>
      </c>
      <c r="D10" s="154" t="n">
        <v>13</v>
      </c>
      <c r="E10" s="154" t="n">
        <v>1</v>
      </c>
      <c r="F10" s="154" t="n">
        <v>8</v>
      </c>
      <c r="G10" s="154" t="n">
        <v>1</v>
      </c>
      <c r="H10" s="515" t="n">
        <v>1</v>
      </c>
      <c r="I10" s="515" t="n">
        <v>3</v>
      </c>
      <c r="J10" s="515" t="n">
        <v>2</v>
      </c>
      <c r="K10" s="515" t="n">
        <v>1</v>
      </c>
      <c r="L10" s="515" t="n">
        <v>4</v>
      </c>
      <c r="M10" s="158" t="n">
        <v>106870</v>
      </c>
      <c r="N10" s="516" t="n">
        <v>4932</v>
      </c>
      <c r="O10" s="163" t="n">
        <v>11</v>
      </c>
      <c r="P10" s="517">
        <f>VLOOKUP(C10,オッズデータ入力!C$7:C$25,2,FALSE)</f>
        <v/>
      </c>
      <c r="Q10" s="517">
        <f>VLOOKUP(D10,オッズデータ入力!O$7:P$25,2,FALSE)</f>
        <v/>
      </c>
      <c r="R10" s="517">
        <f>VLOOKUP(E10,オッズデータ入力!AA$8:AB$25,2,FALSE)</f>
        <v/>
      </c>
      <c r="S10" s="517">
        <f>VLOOKUP(F10,オッズデータ入力!AM$8:AN$25,2,FALSE)</f>
        <v/>
      </c>
      <c r="T10" s="517">
        <f>VLOOKUP(G10,オッズデータ入力!AY$8:AZ$25,2,FALSE)</f>
        <v/>
      </c>
      <c r="U10" s="192">
        <f>SUM(P10:T10)</f>
        <v/>
      </c>
      <c r="V10" s="159" t="inlineStr">
        <is>
          <t>A</t>
        </is>
      </c>
      <c r="W10" s="160" t="inlineStr">
        <is>
          <t>B</t>
        </is>
      </c>
      <c r="X10" s="160" t="inlineStr">
        <is>
          <t>A</t>
        </is>
      </c>
      <c r="Y10" s="160" t="inlineStr">
        <is>
          <t>A</t>
        </is>
      </c>
      <c r="Z10" s="160" t="inlineStr">
        <is>
          <t>B</t>
        </is>
      </c>
      <c r="AA10" s="147" t="n">
        <v>3</v>
      </c>
      <c r="AB10" s="109" t="n">
        <v>2</v>
      </c>
      <c r="AC10" s="109" t="n">
        <v>0</v>
      </c>
      <c r="AD10" s="109" t="n">
        <v>0</v>
      </c>
      <c r="AE10" s="109" t="n">
        <v>0</v>
      </c>
      <c r="AF10" s="109" t="n">
        <v>0</v>
      </c>
      <c r="AG10" s="109" t="n">
        <v>0</v>
      </c>
      <c r="AH10" s="150" t="inlineStr">
        <is>
          <t>ABAAB</t>
        </is>
      </c>
      <c r="AI10" s="109" t="n">
        <v>10</v>
      </c>
      <c r="AJ10" s="150" t="inlineStr">
        <is>
          <t>1-3-2-1-4</t>
        </is>
      </c>
      <c r="AK10" s="110" t="n">
        <v>1</v>
      </c>
    </row>
    <row r="11" ht="50.25" customHeight="1" thickBot="1">
      <c r="A11" s="107" t="n">
        <v>10</v>
      </c>
      <c r="B11" s="111" t="n">
        <v>45676</v>
      </c>
      <c r="C11" s="153" t="n">
        <v>1</v>
      </c>
      <c r="D11" s="154" t="n">
        <v>2</v>
      </c>
      <c r="E11" s="154" t="n">
        <v>12</v>
      </c>
      <c r="F11" s="154" t="n">
        <v>8</v>
      </c>
      <c r="G11" s="154" t="n">
        <v>2</v>
      </c>
      <c r="H11" s="518" t="n">
        <v>2</v>
      </c>
      <c r="I11" s="518" t="n">
        <v>1</v>
      </c>
      <c r="J11" s="518" t="n">
        <v>14</v>
      </c>
      <c r="K11" s="518" t="n">
        <v>4</v>
      </c>
      <c r="L11" s="518" t="n">
        <v>11</v>
      </c>
      <c r="M11" s="158" t="inlineStr">
        <is>
          <t>キャリーオーバー</t>
        </is>
      </c>
      <c r="N11" s="516" t="n">
        <v>0</v>
      </c>
      <c r="O11" s="164" t="n">
        <v>32</v>
      </c>
      <c r="P11" s="517">
        <f>VLOOKUP(C11,オッズデータ入力!C$7:C$25,2,FALSE)</f>
        <v/>
      </c>
      <c r="Q11" s="517">
        <f>VLOOKUP(D11,オッズデータ入力!O$7:P$25,2,FALSE)</f>
        <v/>
      </c>
      <c r="R11" s="517">
        <f>VLOOKUP(E11,オッズデータ入力!AA$8:AB$25,2,FALSE)</f>
        <v/>
      </c>
      <c r="S11" s="517">
        <f>VLOOKUP(F11,オッズデータ入力!AM$8:AN$25,2,FALSE)</f>
        <v/>
      </c>
      <c r="T11" s="517">
        <f>VLOOKUP(G11,オッズデータ入力!AY$8:AZ$25,2,FALSE)</f>
        <v/>
      </c>
      <c r="U11" s="192">
        <f>SUM(P11:T11)</f>
        <v/>
      </c>
      <c r="V11" s="159" t="inlineStr">
        <is>
          <t>A</t>
        </is>
      </c>
      <c r="W11" s="160" t="inlineStr">
        <is>
          <t>A</t>
        </is>
      </c>
      <c r="X11" s="160" t="inlineStr">
        <is>
          <t>F</t>
        </is>
      </c>
      <c r="Y11" s="160" t="inlineStr">
        <is>
          <t>B</t>
        </is>
      </c>
      <c r="Z11" s="160" t="inlineStr">
        <is>
          <t>E</t>
        </is>
      </c>
      <c r="AA11" s="147" t="n">
        <v>2</v>
      </c>
      <c r="AB11" s="109" t="n">
        <v>1</v>
      </c>
      <c r="AC11" s="109" t="n">
        <v>0</v>
      </c>
      <c r="AD11" s="109" t="n">
        <v>0</v>
      </c>
      <c r="AE11" s="109" t="n">
        <v>1</v>
      </c>
      <c r="AF11" s="109" t="n">
        <v>1</v>
      </c>
      <c r="AG11" s="109" t="n">
        <v>0</v>
      </c>
      <c r="AH11" s="150" t="inlineStr">
        <is>
          <t>AAFBE</t>
        </is>
      </c>
      <c r="AI11" s="109" t="n">
        <v>1</v>
      </c>
      <c r="AJ11" s="150" t="inlineStr">
        <is>
          <t>2-1-14-4-11</t>
        </is>
      </c>
      <c r="AK11" s="110" t="n">
        <v>1</v>
      </c>
    </row>
    <row r="12" ht="50.25" customHeight="1" thickBot="1">
      <c r="A12" s="107" t="n">
        <v>11</v>
      </c>
      <c r="B12" s="111" t="n">
        <v>44675</v>
      </c>
      <c r="C12" s="153" t="n">
        <v>8</v>
      </c>
      <c r="D12" s="154" t="n">
        <v>8</v>
      </c>
      <c r="E12" s="154" t="n">
        <v>8</v>
      </c>
      <c r="F12" s="154" t="n">
        <v>13</v>
      </c>
      <c r="G12" s="154" t="n">
        <v>2</v>
      </c>
      <c r="H12" s="515" t="n">
        <v>6</v>
      </c>
      <c r="I12" s="515" t="n">
        <v>1</v>
      </c>
      <c r="J12" s="515" t="n">
        <v>2</v>
      </c>
      <c r="K12" s="515" t="n">
        <v>6</v>
      </c>
      <c r="L12" s="515" t="n">
        <v>5</v>
      </c>
      <c r="M12" s="158" t="n">
        <v>3622950</v>
      </c>
      <c r="N12" s="516" t="n">
        <v>144</v>
      </c>
      <c r="O12" s="163" t="n">
        <v>20</v>
      </c>
      <c r="P12" s="517">
        <f>VLOOKUP(C12,オッズデータ入力!C$7:C$25,2,FALSE)</f>
        <v/>
      </c>
      <c r="Q12" s="517">
        <f>VLOOKUP(D12,オッズデータ入力!O$7:P$25,2,FALSE)</f>
        <v/>
      </c>
      <c r="R12" s="517">
        <f>VLOOKUP(E12,オッズデータ入力!AA$8:AB$25,2,FALSE)</f>
        <v/>
      </c>
      <c r="S12" s="517">
        <f>VLOOKUP(F12,オッズデータ入力!AM$8:AN$25,2,FALSE)</f>
        <v/>
      </c>
      <c r="T12" s="517">
        <f>VLOOKUP(G12,オッズデータ入力!AY$8:AZ$25,2,FALSE)</f>
        <v/>
      </c>
      <c r="U12" s="192">
        <f>SUM(P12:T12)</f>
        <v/>
      </c>
      <c r="V12" s="159" t="inlineStr">
        <is>
          <t>C</t>
        </is>
      </c>
      <c r="W12" s="160" t="inlineStr">
        <is>
          <t>A</t>
        </is>
      </c>
      <c r="X12" s="160" t="inlineStr">
        <is>
          <t>A</t>
        </is>
      </c>
      <c r="Y12" s="160" t="inlineStr">
        <is>
          <t>C</t>
        </is>
      </c>
      <c r="Z12" s="160" t="inlineStr">
        <is>
          <t>B</t>
        </is>
      </c>
      <c r="AA12" s="147" t="n">
        <v>2</v>
      </c>
      <c r="AB12" s="109" t="n">
        <v>1</v>
      </c>
      <c r="AC12" s="109" t="n">
        <v>2</v>
      </c>
      <c r="AD12" s="109" t="n">
        <v>0</v>
      </c>
      <c r="AE12" s="109" t="n">
        <v>0</v>
      </c>
      <c r="AF12" s="109" t="n">
        <v>0</v>
      </c>
      <c r="AG12" s="109" t="n">
        <v>0</v>
      </c>
      <c r="AH12" s="150" t="inlineStr">
        <is>
          <t>CAACB</t>
        </is>
      </c>
      <c r="AI12" s="109" t="n">
        <v>2</v>
      </c>
      <c r="AJ12" s="150" t="inlineStr">
        <is>
          <t>6-1-2-6-5</t>
        </is>
      </c>
      <c r="AK12" s="110" t="n">
        <v>1</v>
      </c>
    </row>
    <row r="13" ht="50.25" customHeight="1" thickBot="1">
      <c r="A13" s="107" t="n">
        <v>12</v>
      </c>
      <c r="B13" s="111" t="n">
        <v>44647</v>
      </c>
      <c r="C13" s="153" t="n">
        <v>8</v>
      </c>
      <c r="D13" s="154" t="n">
        <v>7</v>
      </c>
      <c r="E13" s="154" t="n">
        <v>12</v>
      </c>
      <c r="F13" s="154" t="n">
        <v>12</v>
      </c>
      <c r="G13" s="154" t="n">
        <v>2</v>
      </c>
      <c r="H13" s="515" t="n">
        <v>1</v>
      </c>
      <c r="I13" s="515" t="n">
        <v>3</v>
      </c>
      <c r="J13" s="515" t="n">
        <v>4</v>
      </c>
      <c r="K13" s="515" t="n">
        <v>2</v>
      </c>
      <c r="L13" s="515" t="n">
        <v>8</v>
      </c>
      <c r="M13" s="158" t="n">
        <v>1572040</v>
      </c>
      <c r="N13" s="516" t="n">
        <v>339</v>
      </c>
      <c r="O13" s="163" t="n">
        <v>18</v>
      </c>
      <c r="P13" s="517">
        <f>VLOOKUP(C13,オッズデータ入力!C$7:C$25,2,FALSE)</f>
        <v/>
      </c>
      <c r="Q13" s="517">
        <f>VLOOKUP(D13,オッズデータ入力!O$7:P$25,2,FALSE)</f>
        <v/>
      </c>
      <c r="R13" s="517">
        <f>VLOOKUP(E13,オッズデータ入力!AA$8:AB$25,2,FALSE)</f>
        <v/>
      </c>
      <c r="S13" s="517">
        <f>VLOOKUP(F13,オッズデータ入力!AM$8:AN$25,2,FALSE)</f>
        <v/>
      </c>
      <c r="T13" s="517">
        <f>VLOOKUP(G13,オッズデータ入力!AY$8:AZ$25,2,FALSE)</f>
        <v/>
      </c>
      <c r="U13" s="192">
        <f>SUM(P13:T13)</f>
        <v/>
      </c>
      <c r="V13" s="159" t="inlineStr">
        <is>
          <t>A</t>
        </is>
      </c>
      <c r="W13" s="160" t="inlineStr">
        <is>
          <t>B</t>
        </is>
      </c>
      <c r="X13" s="160" t="inlineStr">
        <is>
          <t>B</t>
        </is>
      </c>
      <c r="Y13" s="160" t="inlineStr">
        <is>
          <t>A</t>
        </is>
      </c>
      <c r="Z13" s="160" t="inlineStr">
        <is>
          <t>D</t>
        </is>
      </c>
      <c r="AA13" s="147" t="n">
        <v>2</v>
      </c>
      <c r="AB13" s="109" t="n">
        <v>2</v>
      </c>
      <c r="AC13" s="109" t="n">
        <v>0</v>
      </c>
      <c r="AD13" s="109" t="n">
        <v>1</v>
      </c>
      <c r="AE13" s="109" t="n">
        <v>0</v>
      </c>
      <c r="AF13" s="109" t="n">
        <v>0</v>
      </c>
      <c r="AG13" s="109" t="n">
        <v>0</v>
      </c>
      <c r="AH13" s="150" t="inlineStr">
        <is>
          <t>ABBAD</t>
        </is>
      </c>
      <c r="AI13" s="109" t="n">
        <v>3</v>
      </c>
      <c r="AJ13" s="150" t="inlineStr">
        <is>
          <t>1-3-4-2-8</t>
        </is>
      </c>
      <c r="AK13" s="110" t="n">
        <v>1</v>
      </c>
    </row>
    <row r="14" ht="50.25" customHeight="1" thickBot="1">
      <c r="A14" s="107" t="n">
        <v>13</v>
      </c>
      <c r="B14" s="111" t="n">
        <v>44451</v>
      </c>
      <c r="C14" s="153" t="n">
        <v>2</v>
      </c>
      <c r="D14" s="154" t="n">
        <v>8</v>
      </c>
      <c r="E14" s="154" t="n">
        <v>2</v>
      </c>
      <c r="F14" s="154" t="n">
        <v>8</v>
      </c>
      <c r="G14" s="154" t="n">
        <v>2</v>
      </c>
      <c r="H14" s="515" t="n">
        <v>1</v>
      </c>
      <c r="I14" s="515" t="n">
        <v>5</v>
      </c>
      <c r="J14" s="515" t="n">
        <v>13</v>
      </c>
      <c r="K14" s="515" t="n">
        <v>1</v>
      </c>
      <c r="L14" s="515" t="n">
        <v>7</v>
      </c>
      <c r="M14" s="158" t="n">
        <v>4343060</v>
      </c>
      <c r="N14" s="516" t="n">
        <v>120</v>
      </c>
      <c r="O14" s="163" t="n">
        <v>27</v>
      </c>
      <c r="P14" s="517">
        <f>VLOOKUP(C14,オッズデータ入力!C$7:C$25,2,FALSE)</f>
        <v/>
      </c>
      <c r="Q14" s="517">
        <f>VLOOKUP(D14,オッズデータ入力!O$7:P$25,2,FALSE)</f>
        <v/>
      </c>
      <c r="R14" s="517">
        <f>VLOOKUP(E14,オッズデータ入力!AA$8:AB$25,2,FALSE)</f>
        <v/>
      </c>
      <c r="S14" s="517">
        <f>VLOOKUP(F14,オッズデータ入力!AM$8:AN$25,2,FALSE)</f>
        <v/>
      </c>
      <c r="T14" s="517">
        <f>VLOOKUP(G14,オッズデータ入力!AY$8:AZ$25,2,FALSE)</f>
        <v/>
      </c>
      <c r="U14" s="192">
        <f>SUM(P14:T14)</f>
        <v/>
      </c>
      <c r="V14" s="159" t="inlineStr">
        <is>
          <t>A</t>
        </is>
      </c>
      <c r="W14" s="160" t="inlineStr">
        <is>
          <t>B</t>
        </is>
      </c>
      <c r="X14" s="160" t="inlineStr">
        <is>
          <t>E</t>
        </is>
      </c>
      <c r="Y14" s="160" t="inlineStr">
        <is>
          <t>A</t>
        </is>
      </c>
      <c r="Z14" s="160" t="inlineStr">
        <is>
          <t>C</t>
        </is>
      </c>
      <c r="AA14" s="147" t="n">
        <v>2</v>
      </c>
      <c r="AB14" s="109" t="n">
        <v>1</v>
      </c>
      <c r="AC14" s="109" t="n">
        <v>1</v>
      </c>
      <c r="AD14" s="109" t="n">
        <v>0</v>
      </c>
      <c r="AE14" s="109" t="n">
        <v>1</v>
      </c>
      <c r="AF14" s="109" t="n">
        <v>0</v>
      </c>
      <c r="AG14" s="109" t="n">
        <v>0</v>
      </c>
      <c r="AH14" s="150" t="inlineStr">
        <is>
          <t>ABEAC</t>
        </is>
      </c>
      <c r="AI14" s="109" t="n">
        <v>1</v>
      </c>
      <c r="AJ14" s="150" t="inlineStr">
        <is>
          <t>1-5-13-1-7</t>
        </is>
      </c>
      <c r="AK14" s="110" t="n">
        <v>1</v>
      </c>
    </row>
    <row r="15" ht="50.25" customHeight="1" thickBot="1">
      <c r="A15" s="107" t="n">
        <v>14</v>
      </c>
      <c r="B15" s="111" t="n">
        <v>43121</v>
      </c>
      <c r="C15" s="153" t="n">
        <v>2</v>
      </c>
      <c r="D15" s="154" t="n">
        <v>7</v>
      </c>
      <c r="E15" s="154" t="n">
        <v>8</v>
      </c>
      <c r="F15" s="154" t="n">
        <v>2</v>
      </c>
      <c r="G15" s="154" t="n">
        <v>7</v>
      </c>
      <c r="H15" s="515" t="n">
        <v>3</v>
      </c>
      <c r="I15" s="515" t="n">
        <v>6</v>
      </c>
      <c r="J15" s="515" t="n">
        <v>1</v>
      </c>
      <c r="K15" s="515" t="n">
        <v>4</v>
      </c>
      <c r="L15" s="515" t="n">
        <v>2</v>
      </c>
      <c r="M15" s="158" t="n">
        <v>566080</v>
      </c>
      <c r="N15" s="516" t="n">
        <v>718</v>
      </c>
      <c r="O15" s="163" t="n">
        <v>16</v>
      </c>
      <c r="P15" s="517">
        <f>VLOOKUP(C15,オッズデータ入力!C$7:C$25,2,FALSE)</f>
        <v/>
      </c>
      <c r="Q15" s="517">
        <f>VLOOKUP(D15,オッズデータ入力!O$7:P$25,2,FALSE)</f>
        <v/>
      </c>
      <c r="R15" s="517">
        <f>VLOOKUP(E15,オッズデータ入力!AA$8:AB$25,2,FALSE)</f>
        <v/>
      </c>
      <c r="S15" s="517">
        <f>VLOOKUP(F15,オッズデータ入力!AM$8:AN$25,2,FALSE)</f>
        <v/>
      </c>
      <c r="T15" s="517">
        <f>VLOOKUP(G15,オッズデータ入力!AY$8:AZ$25,2,FALSE)</f>
        <v/>
      </c>
      <c r="U15" s="192">
        <f>SUM(P15:T15)</f>
        <v/>
      </c>
      <c r="V15" s="159" t="inlineStr">
        <is>
          <t>B</t>
        </is>
      </c>
      <c r="W15" s="160" t="inlineStr">
        <is>
          <t>C</t>
        </is>
      </c>
      <c r="X15" s="160" t="inlineStr">
        <is>
          <t>A</t>
        </is>
      </c>
      <c r="Y15" s="160" t="inlineStr">
        <is>
          <t>B</t>
        </is>
      </c>
      <c r="Z15" s="160" t="inlineStr">
        <is>
          <t>A</t>
        </is>
      </c>
      <c r="AA15" s="147" t="n">
        <v>2</v>
      </c>
      <c r="AB15" s="109" t="n">
        <v>2</v>
      </c>
      <c r="AC15" s="109" t="n">
        <v>1</v>
      </c>
      <c r="AD15" s="109" t="n">
        <v>0</v>
      </c>
      <c r="AE15" s="109" t="n">
        <v>0</v>
      </c>
      <c r="AF15" s="109" t="n">
        <v>0</v>
      </c>
      <c r="AG15" s="109" t="n">
        <v>0</v>
      </c>
      <c r="AH15" s="150" t="inlineStr">
        <is>
          <t>BCABA</t>
        </is>
      </c>
      <c r="AI15" s="109" t="n">
        <v>4</v>
      </c>
      <c r="AJ15" s="150" t="inlineStr">
        <is>
          <t>3-6-1-4-2</t>
        </is>
      </c>
      <c r="AK15" s="110" t="n">
        <v>1</v>
      </c>
    </row>
    <row r="16" ht="50.25" customHeight="1" thickBot="1">
      <c r="A16" s="107" t="n">
        <v>15</v>
      </c>
      <c r="B16" s="111" t="n">
        <v>45011</v>
      </c>
      <c r="C16" s="153" t="n">
        <v>2</v>
      </c>
      <c r="D16" s="154" t="n">
        <v>8</v>
      </c>
      <c r="E16" s="154" t="n">
        <v>2</v>
      </c>
      <c r="F16" s="154" t="n">
        <v>12</v>
      </c>
      <c r="G16" s="154" t="n">
        <v>13</v>
      </c>
      <c r="H16" s="515" t="n">
        <v>2</v>
      </c>
      <c r="I16" s="515" t="n">
        <v>4</v>
      </c>
      <c r="J16" s="515" t="n">
        <v>7</v>
      </c>
      <c r="K16" s="515" t="n">
        <v>5</v>
      </c>
      <c r="L16" s="515" t="n">
        <v>12</v>
      </c>
      <c r="M16" s="158" t="n">
        <v>38485560</v>
      </c>
      <c r="N16" s="516" t="n">
        <v>13</v>
      </c>
      <c r="O16" s="163" t="n">
        <v>30</v>
      </c>
      <c r="P16" s="517">
        <f>VLOOKUP(C16,オッズデータ入力!C$7:C$25,2,FALSE)</f>
        <v/>
      </c>
      <c r="Q16" s="517">
        <f>VLOOKUP(D16,オッズデータ入力!O$7:P$25,2,FALSE)</f>
        <v/>
      </c>
      <c r="R16" s="517">
        <f>VLOOKUP(E16,オッズデータ入力!AA$8:AB$25,2,FALSE)</f>
        <v/>
      </c>
      <c r="S16" s="517">
        <f>VLOOKUP(F16,オッズデータ入力!AM$8:AN$25,2,FALSE)</f>
        <v/>
      </c>
      <c r="T16" s="517">
        <f>VLOOKUP(G16,オッズデータ入力!AY$8:AZ$25,2,FALSE)</f>
        <v/>
      </c>
      <c r="U16" s="192">
        <f>SUM(P16:T16)</f>
        <v/>
      </c>
      <c r="V16" s="159" t="inlineStr">
        <is>
          <t>A</t>
        </is>
      </c>
      <c r="W16" s="160" t="inlineStr">
        <is>
          <t>B</t>
        </is>
      </c>
      <c r="X16" s="160" t="inlineStr">
        <is>
          <t>C</t>
        </is>
      </c>
      <c r="Y16" s="160" t="inlineStr">
        <is>
          <t>B</t>
        </is>
      </c>
      <c r="Z16" s="160" t="inlineStr">
        <is>
          <t>E</t>
        </is>
      </c>
      <c r="AA16" s="147" t="n">
        <v>1</v>
      </c>
      <c r="AB16" s="109" t="n">
        <v>2</v>
      </c>
      <c r="AC16" s="109" t="n">
        <v>1</v>
      </c>
      <c r="AD16" s="109" t="n">
        <v>0</v>
      </c>
      <c r="AE16" s="109" t="n">
        <v>1</v>
      </c>
      <c r="AF16" s="109" t="n">
        <v>0</v>
      </c>
      <c r="AG16" s="109" t="n">
        <v>0</v>
      </c>
      <c r="AH16" s="150" t="inlineStr">
        <is>
          <t>ABCBE</t>
        </is>
      </c>
      <c r="AI16" s="109" t="n">
        <v>1</v>
      </c>
      <c r="AJ16" s="150" t="inlineStr">
        <is>
          <t>2-4-7-5-12</t>
        </is>
      </c>
      <c r="AK16" s="110" t="n">
        <v>1</v>
      </c>
    </row>
    <row r="17" ht="50.25" customHeight="1" thickBot="1">
      <c r="A17" s="107" t="n">
        <v>16</v>
      </c>
      <c r="B17" s="111" t="n">
        <v>41735</v>
      </c>
      <c r="C17" s="153" t="n">
        <v>7</v>
      </c>
      <c r="D17" s="154" t="n">
        <v>7</v>
      </c>
      <c r="E17" s="154" t="n">
        <v>7</v>
      </c>
      <c r="F17" s="154" t="n">
        <v>7</v>
      </c>
      <c r="G17" s="154" t="n">
        <v>2</v>
      </c>
      <c r="H17" s="515" t="n">
        <v>7</v>
      </c>
      <c r="I17" s="515" t="n">
        <v>7</v>
      </c>
      <c r="J17" s="515" t="n">
        <v>8</v>
      </c>
      <c r="K17" s="515" t="n">
        <v>2</v>
      </c>
      <c r="L17" s="515" t="n">
        <v>4</v>
      </c>
      <c r="M17" s="158" t="n">
        <v>27302120</v>
      </c>
      <c r="N17" s="516" t="n">
        <v>20</v>
      </c>
      <c r="O17" s="163" t="n">
        <v>28</v>
      </c>
      <c r="P17" s="517">
        <f>VLOOKUP(C17,オッズデータ入力!C$7:C$25,2,FALSE)</f>
        <v/>
      </c>
      <c r="Q17" s="517">
        <f>VLOOKUP(D17,オッズデータ入力!O$7:P$25,2,FALSE)</f>
        <v/>
      </c>
      <c r="R17" s="517">
        <f>VLOOKUP(E17,オッズデータ入力!AA$8:AB$25,2,FALSE)</f>
        <v/>
      </c>
      <c r="S17" s="517">
        <f>VLOOKUP(F17,オッズデータ入力!AM$8:AN$25,2,FALSE)</f>
        <v/>
      </c>
      <c r="T17" s="517">
        <f>VLOOKUP(G17,オッズデータ入力!AY$8:AZ$25,2,FALSE)</f>
        <v/>
      </c>
      <c r="U17" s="192">
        <f>SUM(P17:T17)</f>
        <v/>
      </c>
      <c r="V17" s="159" t="inlineStr">
        <is>
          <t>C</t>
        </is>
      </c>
      <c r="W17" s="160" t="inlineStr">
        <is>
          <t>C</t>
        </is>
      </c>
      <c r="X17" s="160" t="inlineStr">
        <is>
          <t>D</t>
        </is>
      </c>
      <c r="Y17" s="160" t="inlineStr">
        <is>
          <t>A</t>
        </is>
      </c>
      <c r="Z17" s="160" t="inlineStr">
        <is>
          <t>B</t>
        </is>
      </c>
      <c r="AA17" s="147" t="n">
        <v>1</v>
      </c>
      <c r="AB17" s="109" t="n">
        <v>1</v>
      </c>
      <c r="AC17" s="109" t="n">
        <v>2</v>
      </c>
      <c r="AD17" s="109" t="n">
        <v>1</v>
      </c>
      <c r="AE17" s="109" t="n">
        <v>0</v>
      </c>
      <c r="AF17" s="109" t="n">
        <v>0</v>
      </c>
      <c r="AG17" s="109" t="n">
        <v>0</v>
      </c>
      <c r="AH17" s="150" t="inlineStr">
        <is>
          <t>CCDAB</t>
        </is>
      </c>
      <c r="AI17" s="109" t="n">
        <v>1</v>
      </c>
      <c r="AJ17" s="150" t="inlineStr">
        <is>
          <t>7-7-8-2-4</t>
        </is>
      </c>
      <c r="AK17" s="110" t="n">
        <v>1</v>
      </c>
    </row>
    <row r="18">
      <c r="P18" s="114" t="n"/>
    </row>
    <row r="19">
      <c r="H19" s="188" t="inlineStr">
        <is>
          <t>計</t>
        </is>
      </c>
      <c r="P19" s="114" t="n"/>
    </row>
    <row r="20" ht="42.75" customHeight="1">
      <c r="B20" s="189" t="n">
        <v>1</v>
      </c>
      <c r="C20" s="185">
        <f>COUNTIF(C$2:C$17,B20)</f>
        <v/>
      </c>
      <c r="D20" s="179">
        <f>COUNTIF(D$2:D$17,B20)</f>
        <v/>
      </c>
      <c r="E20" s="179">
        <f>COUNTIF(E$2:E$17,B20)</f>
        <v/>
      </c>
      <c r="F20" s="179">
        <f>COUNTIF(F$2:F$17,B20)</f>
        <v/>
      </c>
      <c r="G20" s="180">
        <f>COUNTIF(G$2:G$17,B20)</f>
        <v/>
      </c>
      <c r="H20" s="113">
        <f>SUM(C20:G20)</f>
        <v/>
      </c>
      <c r="P20" s="117">
        <f>SUBTOTAL(3,P2:P17)</f>
        <v/>
      </c>
    </row>
    <row r="21" ht="42.75" customHeight="1">
      <c r="B21" s="190" t="n">
        <v>2</v>
      </c>
      <c r="C21" s="186">
        <f>COUNTIF(C$2:C$17,B21)</f>
        <v/>
      </c>
      <c r="D21" s="181">
        <f>COUNTIF(D$2:D$17,B21)</f>
        <v/>
      </c>
      <c r="E21" s="181">
        <f>COUNTIF(E$2:E$17,B21)</f>
        <v/>
      </c>
      <c r="F21" s="181">
        <f>COUNTIF(F$2:F$17,B21)</f>
        <v/>
      </c>
      <c r="G21" s="182">
        <f>COUNTIF(G$2:G$17,B21)</f>
        <v/>
      </c>
      <c r="H21" s="113">
        <f>SUM(C21:G21)</f>
        <v/>
      </c>
    </row>
    <row r="22" ht="42.75" customHeight="1">
      <c r="B22" s="190" t="n">
        <v>7</v>
      </c>
      <c r="C22" s="186">
        <f>COUNTIF(C$2:C$17,B22)</f>
        <v/>
      </c>
      <c r="D22" s="181">
        <f>COUNTIF(D$2:D$17,B22)</f>
        <v/>
      </c>
      <c r="E22" s="181">
        <f>COUNTIF(E$2:E$17,B22)</f>
        <v/>
      </c>
      <c r="F22" s="181">
        <f>COUNTIF(F$2:F$17,B22)</f>
        <v/>
      </c>
      <c r="G22" s="182">
        <f>COUNTIF(G$2:G$17,B22)</f>
        <v/>
      </c>
      <c r="H22" s="113">
        <f>SUM(C22:G22)</f>
        <v/>
      </c>
    </row>
    <row r="23" ht="42.75" customHeight="1">
      <c r="B23" s="190" t="n">
        <v>8</v>
      </c>
      <c r="C23" s="186">
        <f>COUNTIF(C$2:C$17,B23)</f>
        <v/>
      </c>
      <c r="D23" s="181">
        <f>COUNTIF(D$2:D$17,B23)</f>
        <v/>
      </c>
      <c r="E23" s="181">
        <f>COUNTIF(E$2:E$17,B23)</f>
        <v/>
      </c>
      <c r="F23" s="181">
        <f>COUNTIF(F$2:F$17,B23)</f>
        <v/>
      </c>
      <c r="G23" s="182">
        <f>COUNTIF(G$2:G$17,B23)</f>
        <v/>
      </c>
      <c r="H23" s="113">
        <f>SUM(C23:G23)</f>
        <v/>
      </c>
    </row>
    <row r="24" ht="42.75" customHeight="1">
      <c r="B24" s="190" t="n">
        <v>12</v>
      </c>
      <c r="C24" s="186">
        <f>COUNTIF(C$2:C$17,B24)</f>
        <v/>
      </c>
      <c r="D24" s="181">
        <f>COUNTIF(D$2:D$17,B24)</f>
        <v/>
      </c>
      <c r="E24" s="181">
        <f>COUNTIF(E$2:E$17,B24)</f>
        <v/>
      </c>
      <c r="F24" s="181">
        <f>COUNTIF(F$2:F$17,B24)</f>
        <v/>
      </c>
      <c r="G24" s="182">
        <f>COUNTIF(G$2:G$17,B24)</f>
        <v/>
      </c>
      <c r="H24" s="113">
        <f>SUM(C24:G24)</f>
        <v/>
      </c>
    </row>
    <row r="25" ht="42.75" customHeight="1">
      <c r="B25" s="191" t="n">
        <v>13</v>
      </c>
      <c r="C25" s="187">
        <f>COUNTIF(C$2:C$17,B25)</f>
        <v/>
      </c>
      <c r="D25" s="183">
        <f>COUNTIF(D$2:D$17,B25)</f>
        <v/>
      </c>
      <c r="E25" s="183">
        <f>COUNTIF(E$2:E$17,B25)</f>
        <v/>
      </c>
      <c r="F25" s="183">
        <f>COUNTIF(F$2:F$17,B25)</f>
        <v/>
      </c>
      <c r="G25" s="184">
        <f>COUNTIF(G$2:G$17,B25)</f>
        <v/>
      </c>
      <c r="H25" s="113">
        <f>SUM(C25:G25)</f>
        <v/>
      </c>
    </row>
  </sheetData>
  <conditionalFormatting sqref="C2:G17">
    <cfRule type="cellIs" priority="7" operator="equal" dxfId="16">
      <formula>13</formula>
    </cfRule>
    <cfRule type="cellIs" priority="13" operator="equal" dxfId="1">
      <formula>12</formula>
    </cfRule>
    <cfRule type="cellIs" priority="14" operator="equal" dxfId="1">
      <formula>7</formula>
    </cfRule>
    <cfRule type="cellIs" priority="15" operator="equal" dxfId="1">
      <formula>1</formula>
    </cfRule>
    <cfRule type="cellIs" priority="16" operator="equal" dxfId="1">
      <formula>8</formula>
    </cfRule>
    <cfRule type="cellIs" priority="17" operator="equal" dxfId="1">
      <formula>2</formula>
    </cfRule>
  </conditionalFormatting>
  <conditionalFormatting sqref="H2:L17">
    <cfRule type="cellIs" priority="8" operator="between" dxfId="10">
      <formula>9</formula>
      <formula>11</formula>
    </cfRule>
    <cfRule type="cellIs" priority="9" operator="between" dxfId="9">
      <formula>6</formula>
      <formula>8</formula>
    </cfRule>
    <cfRule type="cellIs" priority="10" operator="between" dxfId="8">
      <formula>3</formula>
      <formula>5</formula>
    </cfRule>
    <cfRule type="cellIs" priority="12" operator="between" dxfId="7">
      <formula>1</formula>
      <formula>2</formula>
    </cfRule>
  </conditionalFormatting>
  <conditionalFormatting sqref="P2:U17">
    <cfRule type="cellIs" priority="1" operator="equal" dxfId="6">
      <formula>13</formula>
    </cfRule>
    <cfRule type="cellIs" priority="2" operator="equal" dxfId="1">
      <formula>12</formula>
    </cfRule>
    <cfRule type="cellIs" priority="3" operator="equal" dxfId="1">
      <formula>2</formula>
    </cfRule>
    <cfRule type="cellIs" priority="4" operator="equal" dxfId="1">
      <formula>1</formula>
    </cfRule>
    <cfRule type="cellIs" priority="5" operator="equal" dxfId="1">
      <formula>8</formula>
    </cfRule>
    <cfRule type="cellIs" priority="6" operator="equal" dxfId="1">
      <formula>7</formula>
    </cfRule>
  </conditionalFormatting>
  <conditionalFormatting sqref="V2:Z17">
    <cfRule type="cellIs" priority="11" operator="equal" dxfId="0">
      <formula>"A"</formula>
    </cfRule>
  </conditionalFormatting>
  <pageMargins left="0.1574803149606299" right="0.1968503937007874" top="0.7480314960629921" bottom="0.7480314960629921" header="0.3149606299212598" footer="0.3149606299212598"/>
  <pageSetup orientation="landscape" paperSize="9" scale="34" horizontalDpi="4294967293" verticalDpi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T55"/>
  <sheetViews>
    <sheetView workbookViewId="0">
      <selection activeCell="A11" sqref="A11:C11"/>
    </sheetView>
  </sheetViews>
  <sheetFormatPr baseColWidth="8" defaultRowHeight="18.75"/>
  <cols>
    <col width="15.125" customWidth="1" style="1" min="1" max="1"/>
    <col width="6.625" customWidth="1" min="2" max="20"/>
  </cols>
  <sheetData>
    <row r="1" ht="26.25" customHeight="1" thickBot="1">
      <c r="A1" s="519" t="inlineStr">
        <is>
          <t>WIN1  3連単フォーメーション</t>
        </is>
      </c>
      <c r="B1" s="442" t="n"/>
      <c r="C1" s="442" t="n"/>
      <c r="D1" s="442" t="n"/>
      <c r="E1" s="443" t="n"/>
      <c r="F1" s="357" t="n"/>
      <c r="G1" s="357" t="n"/>
      <c r="H1" s="357" t="n"/>
    </row>
    <row r="3">
      <c r="D3" s="115" t="n"/>
      <c r="I3" s="115" t="n"/>
    </row>
    <row r="5">
      <c r="B5" s="520" t="n">
        <v>1</v>
      </c>
      <c r="C5" s="520" t="n">
        <v>2</v>
      </c>
      <c r="D5" s="115" t="inlineStr">
        <is>
          <t>〉〉〉</t>
        </is>
      </c>
      <c r="E5" s="520" t="n">
        <v>1</v>
      </c>
      <c r="F5" s="520" t="n">
        <v>2</v>
      </c>
      <c r="G5" s="520" t="n">
        <v>3</v>
      </c>
      <c r="H5" s="520" t="n">
        <v>4</v>
      </c>
      <c r="I5" s="520" t="n">
        <v>5</v>
      </c>
      <c r="J5" s="520" t="n">
        <v>6</v>
      </c>
      <c r="K5" s="520" t="n">
        <v>7</v>
      </c>
      <c r="L5" s="520" t="n">
        <v>8</v>
      </c>
      <c r="M5" s="115" t="inlineStr">
        <is>
          <t>〉〉〉</t>
        </is>
      </c>
      <c r="N5" s="520" t="n">
        <v>4</v>
      </c>
      <c r="O5" s="520" t="n">
        <v>5</v>
      </c>
      <c r="P5" s="520" t="n">
        <v>6</v>
      </c>
      <c r="Q5" s="520" t="n">
        <v>7</v>
      </c>
      <c r="R5" s="520" t="n">
        <v>8</v>
      </c>
      <c r="S5" s="520" t="n">
        <v>9</v>
      </c>
      <c r="T5" s="520" t="n">
        <v>10</v>
      </c>
    </row>
    <row r="6" customFormat="1" s="1">
      <c r="B6" s="219">
        <f>VLOOKUP(B5,オッズデータ入力!$C$8:$D$25,2,FALSE)</f>
        <v/>
      </c>
      <c r="C6" s="219">
        <f>VLOOKUP(C5,オッズデータ入力!$C$8:$D$25,2,FALSE)</f>
        <v/>
      </c>
      <c r="D6" s="115" t="n"/>
      <c r="E6" s="219">
        <f>VLOOKUP(E5,オッズデータ入力!$C$8:$D$25,2,FALSE)</f>
        <v/>
      </c>
      <c r="F6" s="219">
        <f>VLOOKUP(F5,オッズデータ入力!$C$8:$D$25,2,FALSE)</f>
        <v/>
      </c>
      <c r="G6" s="219">
        <f>VLOOKUP(G5,オッズデータ入力!$C$8:$D$25,2,FALSE)</f>
        <v/>
      </c>
      <c r="H6" s="219">
        <f>VLOOKUP(H5,オッズデータ入力!$C$8:$D$25,2,FALSE)</f>
        <v/>
      </c>
      <c r="I6" s="219">
        <f>VLOOKUP(I5,オッズデータ入力!$C$8:$D$25,2,FALSE)</f>
        <v/>
      </c>
      <c r="J6" s="219">
        <f>VLOOKUP(J5,オッズデータ入力!$C$8:$D$25,2,FALSE)</f>
        <v/>
      </c>
      <c r="K6" s="219">
        <f>VLOOKUP(K5,オッズデータ入力!$C$8:$D$25,2,FALSE)</f>
        <v/>
      </c>
      <c r="L6" s="219">
        <f>VLOOKUP(L5,オッズデータ入力!$C$8:$D$25,2,FALSE)</f>
        <v/>
      </c>
      <c r="N6" s="219">
        <f>VLOOKUP(N5,オッズデータ入力!$C$8:$D$25,2,FALSE)</f>
        <v/>
      </c>
      <c r="O6" s="219">
        <f>VLOOKUP(O5,オッズデータ入力!$C$8:$D$25,2,FALSE)</f>
        <v/>
      </c>
      <c r="P6" s="219">
        <f>VLOOKUP(P5,オッズデータ入力!$C$8:$D$25,2,FALSE)</f>
        <v/>
      </c>
      <c r="Q6" s="219">
        <f>VLOOKUP(Q5,オッズデータ入力!$C$8:$D$25,2,FALSE)</f>
        <v/>
      </c>
      <c r="R6" s="219">
        <f>VLOOKUP(R5,オッズデータ入力!$C$8:$D$25,2,FALSE)</f>
        <v/>
      </c>
      <c r="S6" s="219">
        <f>VLOOKUP(S5,オッズデータ入力!$C$8:$D$25,2,FALSE)</f>
        <v/>
      </c>
      <c r="T6" s="219">
        <f>VLOOKUP(T5,オッズデータ入力!$C$8:$D$25,2,FALSE)</f>
        <v/>
      </c>
    </row>
    <row r="7">
      <c r="B7" s="1" t="n"/>
      <c r="C7" s="1" t="n"/>
      <c r="D7" s="115" t="n"/>
      <c r="I7" s="115" t="n"/>
    </row>
    <row r="8">
      <c r="B8" s="520" t="n">
        <v>1</v>
      </c>
      <c r="C8" s="520" t="n">
        <v>2</v>
      </c>
      <c r="D8" s="115" t="inlineStr">
        <is>
          <t>〉〉〉</t>
        </is>
      </c>
      <c r="E8" s="520" t="n">
        <v>2</v>
      </c>
      <c r="F8" s="520" t="n">
        <v>3</v>
      </c>
      <c r="G8" s="520" t="n">
        <v>4</v>
      </c>
      <c r="H8" s="520" t="n">
        <v>5</v>
      </c>
      <c r="I8" s="520" t="n">
        <v>6</v>
      </c>
      <c r="J8" s="520" t="n">
        <v>7</v>
      </c>
      <c r="K8" s="115" t="inlineStr">
        <is>
          <t>〉〉〉</t>
        </is>
      </c>
      <c r="L8" s="520" t="n">
        <v>2</v>
      </c>
      <c r="M8" s="520" t="n">
        <v>3</v>
      </c>
      <c r="N8" s="520" t="n">
        <v>4</v>
      </c>
      <c r="O8" s="520" t="n">
        <v>5</v>
      </c>
      <c r="P8" s="520" t="n">
        <v>6</v>
      </c>
      <c r="Q8" s="520" t="n">
        <v>7</v>
      </c>
      <c r="R8" s="520" t="n">
        <v>8</v>
      </c>
      <c r="S8" s="520" t="n">
        <v>9</v>
      </c>
    </row>
    <row r="9" customFormat="1" s="1">
      <c r="B9" s="219">
        <f>VLOOKUP(B8,オッズデータ入力!$C$8:$D$25,2,FALSE)</f>
        <v/>
      </c>
      <c r="C9" s="219">
        <f>VLOOKUP(C8,オッズデータ入力!$C$8:$D$25,2,FALSE)</f>
        <v/>
      </c>
      <c r="D9" s="115" t="n"/>
      <c r="E9" s="219">
        <f>VLOOKUP(E8,オッズデータ入力!$C$8:$D$25,2,FALSE)</f>
        <v/>
      </c>
      <c r="F9" s="219">
        <f>VLOOKUP(F8,オッズデータ入力!$C$8:$D$25,2,FALSE)</f>
        <v/>
      </c>
      <c r="G9" s="219">
        <f>VLOOKUP(G8,オッズデータ入力!$C$8:$D$25,2,FALSE)</f>
        <v/>
      </c>
      <c r="H9" s="219">
        <f>VLOOKUP(H8,オッズデータ入力!$C$8:$D$25,2,FALSE)</f>
        <v/>
      </c>
      <c r="I9" s="219">
        <f>VLOOKUP(I8,オッズデータ入力!$C$8:$D$25,2,FALSE)</f>
        <v/>
      </c>
      <c r="J9" s="219">
        <f>VLOOKUP(J8,オッズデータ入力!$C$8:$D$25,2,FALSE)</f>
        <v/>
      </c>
      <c r="L9" s="219">
        <f>VLOOKUP(L8,オッズデータ入力!$C$8:$D$25,2,FALSE)</f>
        <v/>
      </c>
      <c r="M9" s="219">
        <f>VLOOKUP(M8,オッズデータ入力!$C$8:$D$25,2,FALSE)</f>
        <v/>
      </c>
      <c r="N9" s="219">
        <f>VLOOKUP(N8,オッズデータ入力!$C$8:$D$25,2,FALSE)</f>
        <v/>
      </c>
      <c r="O9" s="219">
        <f>VLOOKUP(O8,オッズデータ入力!$C$8:$D$25,2,FALSE)</f>
        <v/>
      </c>
      <c r="P9" s="219">
        <f>VLOOKUP(P8,オッズデータ入力!$C$8:$D$25,2,FALSE)</f>
        <v/>
      </c>
      <c r="Q9" s="219">
        <f>VLOOKUP(Q8,オッズデータ入力!$C$8:$D$25,2,FALSE)</f>
        <v/>
      </c>
      <c r="R9" s="219">
        <f>VLOOKUP(R8,オッズデータ入力!$C$8:$D$25,2,FALSE)</f>
        <v/>
      </c>
      <c r="S9" s="219">
        <f>VLOOKUP(S8,オッズデータ入力!$C$8:$D$25,2,FALSE)</f>
        <v/>
      </c>
    </row>
    <row r="10" ht="19.5" customHeight="1" thickBot="1">
      <c r="B10" s="1" t="n"/>
      <c r="C10" s="1" t="n"/>
      <c r="D10" s="115" t="n"/>
      <c r="I10" s="115" t="n"/>
    </row>
    <row r="11" ht="27.75" customHeight="1" thickBot="1">
      <c r="A11" s="356" t="inlineStr">
        <is>
          <t>3連単フォーメーション</t>
        </is>
      </c>
      <c r="B11" s="442" t="n"/>
      <c r="C11" s="443" t="n"/>
    </row>
    <row r="12" customFormat="1" s="1">
      <c r="A12" s="354" t="n"/>
      <c r="B12" s="1" t="inlineStr">
        <is>
          <t>◎</t>
        </is>
      </c>
      <c r="D12" s="1" t="inlineStr">
        <is>
          <t>〇</t>
        </is>
      </c>
      <c r="E12" s="1" t="inlineStr">
        <is>
          <t>▲</t>
        </is>
      </c>
      <c r="G12" s="1" t="inlineStr">
        <is>
          <t>〇</t>
        </is>
      </c>
      <c r="H12" s="1" t="inlineStr">
        <is>
          <t>▲</t>
        </is>
      </c>
      <c r="I12" s="1" t="inlineStr">
        <is>
          <t>△</t>
        </is>
      </c>
      <c r="J12" s="1" t="inlineStr">
        <is>
          <t>★</t>
        </is>
      </c>
      <c r="K12" s="1" t="inlineStr">
        <is>
          <t>☆</t>
        </is>
      </c>
      <c r="L12" s="1" t="inlineStr">
        <is>
          <t>◆</t>
        </is>
      </c>
    </row>
    <row r="13" customFormat="1" s="521">
      <c r="A13" s="522" t="inlineStr">
        <is>
          <t>①　1-2-6（10点）</t>
        </is>
      </c>
      <c r="B13" s="520" t="n">
        <v>1</v>
      </c>
      <c r="C13" s="523" t="inlineStr">
        <is>
          <t>〉〉〉</t>
        </is>
      </c>
      <c r="D13" s="520" t="n">
        <v>2</v>
      </c>
      <c r="E13" s="520" t="n">
        <v>3</v>
      </c>
      <c r="F13" s="523" t="inlineStr">
        <is>
          <t>〉〉〉</t>
        </is>
      </c>
      <c r="G13" s="520" t="n">
        <v>2</v>
      </c>
      <c r="H13" s="520" t="n">
        <v>3</v>
      </c>
      <c r="I13" s="520" t="n">
        <v>4</v>
      </c>
      <c r="J13" s="520" t="n">
        <v>5</v>
      </c>
      <c r="K13" s="520" t="n">
        <v>6</v>
      </c>
      <c r="L13" s="520" t="n">
        <v>7</v>
      </c>
      <c r="M13" s="522" t="n"/>
    </row>
    <row r="14" customFormat="1" s="1">
      <c r="A14" s="115" t="n"/>
      <c r="B14" s="219">
        <f>VLOOKUP(B13,オッズデータ入力!$C$8:$D$25,2,FALSE)</f>
        <v/>
      </c>
      <c r="C14" s="353" t="n"/>
      <c r="D14" s="219">
        <f>VLOOKUP(D13,オッズデータ入力!$C$8:$D$25,2,FALSE)</f>
        <v/>
      </c>
      <c r="E14" s="219">
        <f>VLOOKUP(E13,オッズデータ入力!$C$8:$D$25,2,FALSE)</f>
        <v/>
      </c>
      <c r="G14" s="219">
        <f>VLOOKUP(G13,オッズデータ入力!$C$8:$D$25,2,FALSE)</f>
        <v/>
      </c>
      <c r="H14" s="219">
        <f>VLOOKUP(H13,オッズデータ入力!$C$8:$D$25,2,FALSE)</f>
        <v/>
      </c>
      <c r="I14" s="219">
        <f>VLOOKUP(I13,オッズデータ入力!$C$8:$D$25,2,FALSE)</f>
        <v/>
      </c>
      <c r="J14" s="219">
        <f>VLOOKUP(J13,オッズデータ入力!$C$8:$D$25,2,FALSE)</f>
        <v/>
      </c>
      <c r="K14" s="219">
        <f>VLOOKUP(K13,オッズデータ入力!$C$8:$D$25,2,FALSE)</f>
        <v/>
      </c>
      <c r="L14" s="219">
        <f>VLOOKUP(L13,オッズデータ入力!$C$8:$D$25,2,FALSE)</f>
        <v/>
      </c>
    </row>
    <row r="15">
      <c r="A15" s="115" t="n"/>
      <c r="B15" t="inlineStr">
        <is>
          <t>※　１着に自信あり、２着候補も絞れている場合（２着に中穴を入れておく）</t>
        </is>
      </c>
    </row>
    <row r="16" ht="37.5" customHeight="1">
      <c r="A16" s="115" t="n"/>
    </row>
    <row r="17">
      <c r="A17" s="115" t="n"/>
      <c r="B17" s="1" t="inlineStr">
        <is>
          <t>◎</t>
        </is>
      </c>
      <c r="C17" s="1" t="n"/>
      <c r="D17" s="1" t="inlineStr">
        <is>
          <t>〇</t>
        </is>
      </c>
      <c r="E17" s="1" t="inlineStr">
        <is>
          <t>▲</t>
        </is>
      </c>
      <c r="F17" s="1" t="inlineStr">
        <is>
          <t>△</t>
        </is>
      </c>
      <c r="H17" s="1" t="inlineStr">
        <is>
          <t>〇</t>
        </is>
      </c>
      <c r="I17" s="1" t="inlineStr">
        <is>
          <t>▲</t>
        </is>
      </c>
      <c r="J17" s="1" t="inlineStr">
        <is>
          <t>△</t>
        </is>
      </c>
      <c r="K17" s="1" t="inlineStr">
        <is>
          <t>★</t>
        </is>
      </c>
      <c r="L17" s="1" t="inlineStr">
        <is>
          <t>☆</t>
        </is>
      </c>
      <c r="M17" s="1" t="inlineStr">
        <is>
          <t>◆</t>
        </is>
      </c>
      <c r="N17" s="1" t="inlineStr">
        <is>
          <t>◇</t>
        </is>
      </c>
    </row>
    <row r="18">
      <c r="A18" s="115" t="inlineStr">
        <is>
          <t>②　1-3-7（18点）</t>
        </is>
      </c>
      <c r="B18" s="520" t="n">
        <v>1</v>
      </c>
      <c r="C18" s="523" t="inlineStr">
        <is>
          <t>〉〉〉</t>
        </is>
      </c>
      <c r="D18" s="520" t="n">
        <v>2</v>
      </c>
      <c r="E18" s="520" t="n">
        <v>3</v>
      </c>
      <c r="F18" s="520" t="n">
        <v>4</v>
      </c>
      <c r="G18" s="523" t="inlineStr">
        <is>
          <t>〉〉〉</t>
        </is>
      </c>
      <c r="H18" s="520" t="n">
        <v>2</v>
      </c>
      <c r="I18" s="520" t="n">
        <v>3</v>
      </c>
      <c r="J18" s="520" t="n">
        <v>4</v>
      </c>
      <c r="K18" s="520" t="n">
        <v>5</v>
      </c>
      <c r="L18" s="520" t="n">
        <v>6</v>
      </c>
      <c r="M18" s="520" t="n">
        <v>7</v>
      </c>
      <c r="N18" s="520" t="n">
        <v>8</v>
      </c>
    </row>
    <row r="19">
      <c r="A19" s="354" t="n"/>
      <c r="B19" s="219">
        <f>VLOOKUP(B18,オッズデータ入力!$C$8:$D$25,2,FALSE)</f>
        <v/>
      </c>
      <c r="C19" s="353" t="n"/>
      <c r="D19" s="219">
        <f>VLOOKUP(D18,オッズデータ入力!$C$8:$D$25,2,FALSE)</f>
        <v/>
      </c>
      <c r="E19" s="219">
        <f>VLOOKUP(E18,オッズデータ入力!$C$8:$D$25,2,FALSE)</f>
        <v/>
      </c>
      <c r="F19" s="219">
        <f>VLOOKUP(F18,オッズデータ入力!$C$8:$D$25,2,FALSE)</f>
        <v/>
      </c>
      <c r="H19" s="219">
        <f>VLOOKUP(H18,オッズデータ入力!$C$8:$D$25,2,FALSE)</f>
        <v/>
      </c>
      <c r="I19" s="219">
        <f>VLOOKUP(I18,オッズデータ入力!$C$8:$D$25,2,FALSE)</f>
        <v/>
      </c>
      <c r="J19" s="219">
        <f>VLOOKUP(J18,オッズデータ入力!$C$8:$D$25,2,FALSE)</f>
        <v/>
      </c>
      <c r="K19" s="219">
        <f>VLOOKUP(K18,オッズデータ入力!$C$8:$D$25,2,FALSE)</f>
        <v/>
      </c>
      <c r="L19" s="219">
        <f>VLOOKUP(L18,オッズデータ入力!$C$8:$D$25,2,FALSE)</f>
        <v/>
      </c>
      <c r="M19" s="219">
        <f>VLOOKUP(M18,オッズデータ入力!$C$8:$D$25,2,FALSE)</f>
        <v/>
      </c>
      <c r="N19" s="219">
        <f>VLOOKUP(N18,オッズデータ入力!$C$8:$D$25,2,FALSE)</f>
        <v/>
      </c>
    </row>
    <row r="20">
      <c r="A20" s="354" t="n"/>
      <c r="B20" t="inlineStr">
        <is>
          <t>※　2着候補を3頭まで増やせる買い方（3着候補を7頭まで選べる）</t>
        </is>
      </c>
    </row>
    <row r="21" ht="37.5" customHeight="1">
      <c r="A21" s="354" t="n"/>
    </row>
    <row r="22">
      <c r="A22" s="354" t="inlineStr">
        <is>
          <t>③　2-2-5（10点）</t>
        </is>
      </c>
      <c r="B22" s="1" t="inlineStr">
        <is>
          <t>◎</t>
        </is>
      </c>
      <c r="C22" s="1" t="inlineStr">
        <is>
          <t>〇</t>
        </is>
      </c>
      <c r="E22" s="1" t="inlineStr">
        <is>
          <t>◎</t>
        </is>
      </c>
      <c r="F22" s="1" t="inlineStr">
        <is>
          <t>〇</t>
        </is>
      </c>
      <c r="H22" s="1" t="inlineStr">
        <is>
          <t>▲</t>
        </is>
      </c>
      <c r="I22" s="1" t="inlineStr">
        <is>
          <t>△</t>
        </is>
      </c>
      <c r="J22" s="1" t="inlineStr">
        <is>
          <t>★</t>
        </is>
      </c>
      <c r="K22" s="1" t="inlineStr">
        <is>
          <t>☆</t>
        </is>
      </c>
      <c r="L22" s="1" t="inlineStr">
        <is>
          <t>◆</t>
        </is>
      </c>
    </row>
    <row r="23">
      <c r="A23" s="354" t="n"/>
      <c r="B23" s="520" t="n">
        <v>1</v>
      </c>
      <c r="C23" s="520" t="n">
        <v>2</v>
      </c>
      <c r="D23" s="523" t="inlineStr">
        <is>
          <t>〉〉〉</t>
        </is>
      </c>
      <c r="E23" s="520" t="n">
        <v>1</v>
      </c>
      <c r="F23" s="520" t="n">
        <v>2</v>
      </c>
      <c r="G23" s="523" t="inlineStr">
        <is>
          <t>〉〉〉</t>
        </is>
      </c>
      <c r="H23" s="520" t="n">
        <v>3</v>
      </c>
      <c r="I23" s="520" t="n">
        <v>4</v>
      </c>
      <c r="J23" s="520" t="n">
        <v>5</v>
      </c>
      <c r="K23" s="520" t="n">
        <v>6</v>
      </c>
      <c r="L23" s="520" t="n">
        <v>7</v>
      </c>
    </row>
    <row r="24">
      <c r="A24" s="354" t="n"/>
      <c r="B24" s="219">
        <f>VLOOKUP(B23,オッズデータ入力!$C$8:$D$25,2,FALSE)</f>
        <v/>
      </c>
      <c r="C24" s="219">
        <f>VLOOKUP(C23,オッズデータ入力!$C$8:$D$25,2,FALSE)</f>
        <v/>
      </c>
      <c r="D24" s="353" t="n"/>
      <c r="E24" s="219">
        <f>VLOOKUP(E23,オッズデータ入力!$C$8:$D$25,2,FALSE)</f>
        <v/>
      </c>
      <c r="F24" s="219">
        <f>VLOOKUP(F23,オッズデータ入力!$C$8:$D$25,2,FALSE)</f>
        <v/>
      </c>
      <c r="G24" s="353" t="n"/>
      <c r="H24" s="219">
        <f>VLOOKUP(H23,オッズデータ入力!$C$8:$D$25,2,FALSE)</f>
        <v/>
      </c>
      <c r="I24" s="219">
        <f>VLOOKUP(I23,オッズデータ入力!$C$8:$D$25,2,FALSE)</f>
        <v/>
      </c>
      <c r="J24" s="219">
        <f>VLOOKUP(J23,オッズデータ入力!$C$8:$D$25,2,FALSE)</f>
        <v/>
      </c>
      <c r="K24" s="219">
        <f>VLOOKUP(K23,オッズデータ入力!$C$8:$D$25,2,FALSE)</f>
        <v/>
      </c>
      <c r="L24" s="219">
        <f>VLOOKUP(L23,オッズデータ入力!$C$8:$D$25,2,FALSE)</f>
        <v/>
      </c>
    </row>
    <row r="25">
      <c r="A25" s="354" t="n"/>
      <c r="B25" s="258" t="inlineStr">
        <is>
          <t>※　2頭が抜けていると判断した時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 ht="37.5" customHeight="1">
      <c r="A26" s="354" t="n"/>
    </row>
    <row r="27">
      <c r="A27" s="354" t="inlineStr">
        <is>
          <t>④　2-4-6（24点）</t>
        </is>
      </c>
      <c r="B27" s="1" t="inlineStr">
        <is>
          <t>◎</t>
        </is>
      </c>
      <c r="C27" s="1" t="inlineStr">
        <is>
          <t>〇</t>
        </is>
      </c>
      <c r="E27" s="1" t="inlineStr">
        <is>
          <t>◎</t>
        </is>
      </c>
      <c r="F27" s="1" t="inlineStr">
        <is>
          <t>〇</t>
        </is>
      </c>
      <c r="G27" s="1" t="inlineStr">
        <is>
          <t>▲</t>
        </is>
      </c>
      <c r="H27" s="1" t="inlineStr">
        <is>
          <t>△</t>
        </is>
      </c>
      <c r="J27" s="1" t="inlineStr">
        <is>
          <t>◎</t>
        </is>
      </c>
      <c r="K27" s="1" t="inlineStr">
        <is>
          <t>〇</t>
        </is>
      </c>
      <c r="L27" s="1" t="inlineStr">
        <is>
          <t>▲</t>
        </is>
      </c>
      <c r="M27" s="1" t="inlineStr">
        <is>
          <t>△</t>
        </is>
      </c>
      <c r="N27" s="1" t="inlineStr">
        <is>
          <t>★</t>
        </is>
      </c>
      <c r="O27" s="1" t="inlineStr">
        <is>
          <t>☆</t>
        </is>
      </c>
    </row>
    <row r="28">
      <c r="A28" s="354" t="n"/>
      <c r="B28" s="520" t="n">
        <v>1</v>
      </c>
      <c r="C28" s="520" t="n">
        <v>2</v>
      </c>
      <c r="D28" s="523" t="inlineStr">
        <is>
          <t>〉〉〉</t>
        </is>
      </c>
      <c r="E28" s="520" t="n">
        <v>1</v>
      </c>
      <c r="F28" s="520" t="n">
        <v>2</v>
      </c>
      <c r="G28" s="520" t="n">
        <v>3</v>
      </c>
      <c r="H28" s="520" t="n">
        <v>4</v>
      </c>
      <c r="I28" s="523" t="inlineStr">
        <is>
          <t>〉〉〉</t>
        </is>
      </c>
      <c r="J28" s="520" t="n">
        <v>1</v>
      </c>
      <c r="K28" s="520" t="n">
        <v>2</v>
      </c>
      <c r="L28" s="520" t="n">
        <v>3</v>
      </c>
      <c r="M28" s="520" t="n">
        <v>4</v>
      </c>
      <c r="N28" s="520" t="n">
        <v>5</v>
      </c>
      <c r="O28" s="520" t="n">
        <v>6</v>
      </c>
    </row>
    <row r="29">
      <c r="A29" s="354" t="n"/>
      <c r="B29" s="219">
        <f>VLOOKUP(B28,オッズデータ入力!$C$8:$D$25,2,FALSE)</f>
        <v/>
      </c>
      <c r="C29" s="219">
        <f>VLOOKUP(C28,オッズデータ入力!$C$8:$D$25,2,FALSE)</f>
        <v/>
      </c>
      <c r="D29" s="353" t="n"/>
      <c r="E29" s="219">
        <f>VLOOKUP(E28,オッズデータ入力!$C$8:$D$25,2,FALSE)</f>
        <v/>
      </c>
      <c r="F29" s="219">
        <f>VLOOKUP(F28,オッズデータ入力!$C$8:$D$25,2,FALSE)</f>
        <v/>
      </c>
      <c r="G29" s="219">
        <f>VLOOKUP(G28,オッズデータ入力!$C$8:$D$25,2,FALSE)</f>
        <v/>
      </c>
      <c r="H29" s="219">
        <f>VLOOKUP(H28,オッズデータ入力!$C$8:$D$25,2,FALSE)</f>
        <v/>
      </c>
      <c r="I29" s="353" t="n"/>
      <c r="J29" s="219">
        <f>VLOOKUP(J28,オッズデータ入力!$C$8:$D$25,2,FALSE)</f>
        <v/>
      </c>
      <c r="K29" s="219">
        <f>VLOOKUP(K28,オッズデータ入力!$C$8:$D$25,2,FALSE)</f>
        <v/>
      </c>
      <c r="L29" s="219">
        <f>VLOOKUP(L28,オッズデータ入力!$C$8:$D$25,2,FALSE)</f>
        <v/>
      </c>
      <c r="M29" s="219">
        <f>VLOOKUP(M28,オッズデータ入力!$C$8:$D$25,2,FALSE)</f>
        <v/>
      </c>
      <c r="N29" s="219">
        <f>VLOOKUP(N28,オッズデータ入力!$C$8:$D$25,2,FALSE)</f>
        <v/>
      </c>
      <c r="O29" s="219">
        <f>VLOOKUP(O28,オッズデータ入力!$C$8:$D$25,2,FALSE)</f>
        <v/>
      </c>
    </row>
    <row r="30">
      <c r="A30" s="354" t="n"/>
      <c r="B30" t="inlineStr">
        <is>
          <t>※　2着候補を4頭まで選べる</t>
        </is>
      </c>
      <c r="D30" s="115" t="n"/>
      <c r="I30" s="115" t="n"/>
    </row>
    <row r="31" ht="36.75" customHeight="1" thickBot="1">
      <c r="A31" s="354" t="n"/>
      <c r="D31" s="115" t="n"/>
      <c r="I31" s="115" t="n"/>
    </row>
    <row r="32" ht="23.25" customHeight="1" thickBot="1">
      <c r="A32" s="356" t="inlineStr">
        <is>
          <t>ジャイさんの買い方</t>
        </is>
      </c>
      <c r="B32" s="442" t="n"/>
      <c r="C32" s="443" t="n"/>
      <c r="D32" s="115" t="n"/>
      <c r="I32" s="115" t="n"/>
    </row>
    <row r="33">
      <c r="A33" s="354" t="n"/>
      <c r="B33" s="1" t="inlineStr">
        <is>
          <t>◎</t>
        </is>
      </c>
      <c r="D33" s="1" t="inlineStr">
        <is>
          <t>〇</t>
        </is>
      </c>
      <c r="E33" s="1" t="inlineStr">
        <is>
          <t>▲</t>
        </is>
      </c>
      <c r="G33" s="1" t="inlineStr">
        <is>
          <t>△</t>
        </is>
      </c>
      <c r="H33" s="1" t="inlineStr">
        <is>
          <t>△</t>
        </is>
      </c>
      <c r="I33" s="1" t="inlineStr">
        <is>
          <t>△</t>
        </is>
      </c>
      <c r="J33" s="1" t="inlineStr">
        <is>
          <t>△</t>
        </is>
      </c>
      <c r="K33" s="1" t="inlineStr">
        <is>
          <t>△</t>
        </is>
      </c>
      <c r="L33" s="1" t="inlineStr">
        <is>
          <t>△</t>
        </is>
      </c>
      <c r="M33" s="1" t="inlineStr">
        <is>
          <t>△</t>
        </is>
      </c>
      <c r="N33" s="1" t="inlineStr">
        <is>
          <t>△</t>
        </is>
      </c>
      <c r="O33" s="1" t="inlineStr">
        <is>
          <t>△</t>
        </is>
      </c>
      <c r="P33" s="1" t="inlineStr">
        <is>
          <t>△</t>
        </is>
      </c>
      <c r="Q33" s="1" t="inlineStr">
        <is>
          <t>△</t>
        </is>
      </c>
    </row>
    <row r="34">
      <c r="A34" s="354" t="inlineStr">
        <is>
          <t>①　1-2-11（22点）</t>
        </is>
      </c>
      <c r="B34" s="520" t="n">
        <v>1</v>
      </c>
      <c r="C34" s="523" t="inlineStr">
        <is>
          <t>〉〉〉</t>
        </is>
      </c>
      <c r="D34" s="520" t="n">
        <v>2</v>
      </c>
      <c r="E34" s="520" t="n">
        <v>3</v>
      </c>
      <c r="F34" s="523" t="inlineStr">
        <is>
          <t>〉〉〉</t>
        </is>
      </c>
      <c r="G34" s="520" t="n">
        <v>4</v>
      </c>
      <c r="H34" s="520" t="n">
        <v>5</v>
      </c>
      <c r="I34" s="520" t="n">
        <v>6</v>
      </c>
      <c r="J34" s="520" t="n">
        <v>7</v>
      </c>
      <c r="K34" s="520" t="n">
        <v>8</v>
      </c>
      <c r="L34" s="520" t="n">
        <v>9</v>
      </c>
      <c r="M34" s="520" t="n">
        <v>10</v>
      </c>
      <c r="N34" s="520" t="n">
        <v>11</v>
      </c>
      <c r="O34" s="520" t="n">
        <v>12</v>
      </c>
      <c r="P34" s="520" t="n">
        <v>13</v>
      </c>
      <c r="Q34" s="520" t="n">
        <v>14</v>
      </c>
    </row>
    <row r="35">
      <c r="A35" s="354" t="n"/>
      <c r="B35" s="219">
        <f>VLOOKUP(B34,オッズデータ入力!$C$8:$D$25,2,FALSE)</f>
        <v/>
      </c>
      <c r="D35" s="219">
        <f>VLOOKUP(D34,オッズデータ入力!$C$8:$D$25,2,FALSE)</f>
        <v/>
      </c>
      <c r="E35" s="219">
        <f>VLOOKUP(E34,オッズデータ入力!$C$8:$D$25,2,FALSE)</f>
        <v/>
      </c>
      <c r="G35" s="219">
        <f>VLOOKUP(G34,オッズデータ入力!$C$8:$D$25,2,FALSE)</f>
        <v/>
      </c>
      <c r="H35" s="219">
        <f>VLOOKUP(H34,オッズデータ入力!$C$8:$D$25,2,FALSE)</f>
        <v/>
      </c>
      <c r="I35" s="219">
        <f>VLOOKUP(I34,オッズデータ入力!$C$8:$D$25,2,FALSE)</f>
        <v/>
      </c>
      <c r="J35" s="219">
        <f>VLOOKUP(J34,オッズデータ入力!$C$8:$D$25,2,FALSE)</f>
        <v/>
      </c>
      <c r="K35" s="219">
        <f>VLOOKUP(K34,オッズデータ入力!$C$8:$D$25,2,FALSE)</f>
        <v/>
      </c>
      <c r="L35" s="219">
        <f>VLOOKUP(L34,オッズデータ入力!$C$8:$D$25,2,FALSE)</f>
        <v/>
      </c>
      <c r="M35" s="219">
        <f>VLOOKUP(M34,オッズデータ入力!$C$8:$D$25,2,FALSE)</f>
        <v/>
      </c>
      <c r="N35" s="219">
        <f>VLOOKUP(N34,オッズデータ入力!$C$8:$D$25,2,FALSE)</f>
        <v/>
      </c>
      <c r="O35" s="219">
        <f>VLOOKUP(O34,オッズデータ入力!$C$8:$D$25,2,FALSE)</f>
        <v/>
      </c>
      <c r="P35" s="219">
        <f>VLOOKUP(P34,オッズデータ入力!$C$8:$D$25,2,FALSE)</f>
        <v/>
      </c>
      <c r="Q35" s="219">
        <f>VLOOKUP(Q34,オッズデータ入力!$C$8:$D$25,2,FALSE)</f>
        <v/>
      </c>
    </row>
    <row r="36">
      <c r="A36" s="354" t="n"/>
      <c r="D36" s="115" t="n"/>
      <c r="I36" s="115" t="n"/>
    </row>
    <row r="37">
      <c r="A37" s="354" t="n"/>
      <c r="B37" s="1" t="inlineStr">
        <is>
          <t>◎</t>
        </is>
      </c>
      <c r="D37" s="1" t="inlineStr">
        <is>
          <t>△</t>
        </is>
      </c>
      <c r="E37" s="1" t="inlineStr">
        <is>
          <t>△</t>
        </is>
      </c>
      <c r="F37" s="1" t="inlineStr">
        <is>
          <t>△</t>
        </is>
      </c>
      <c r="G37" s="1" t="inlineStr">
        <is>
          <t>△</t>
        </is>
      </c>
      <c r="H37" s="1" t="inlineStr">
        <is>
          <t>△</t>
        </is>
      </c>
      <c r="I37" s="1" t="inlineStr">
        <is>
          <t>△</t>
        </is>
      </c>
      <c r="J37" s="1" t="inlineStr">
        <is>
          <t>△</t>
        </is>
      </c>
      <c r="K37" s="1" t="inlineStr">
        <is>
          <t>△</t>
        </is>
      </c>
      <c r="L37" s="1" t="inlineStr">
        <is>
          <t>△</t>
        </is>
      </c>
      <c r="M37" s="1" t="inlineStr">
        <is>
          <t>△</t>
        </is>
      </c>
      <c r="N37" s="1" t="inlineStr">
        <is>
          <t>△</t>
        </is>
      </c>
      <c r="P37" s="1" t="inlineStr">
        <is>
          <t>〇</t>
        </is>
      </c>
      <c r="Q37" s="1" t="inlineStr">
        <is>
          <t>▲</t>
        </is>
      </c>
    </row>
    <row r="38">
      <c r="A38" s="354" t="inlineStr">
        <is>
          <t>②　1-11-2（22点）</t>
        </is>
      </c>
      <c r="B38" s="520" t="n">
        <v>1</v>
      </c>
      <c r="C38" s="523" t="inlineStr">
        <is>
          <t>〉〉〉</t>
        </is>
      </c>
      <c r="D38" s="520" t="n">
        <v>4</v>
      </c>
      <c r="E38" s="520" t="n">
        <v>5</v>
      </c>
      <c r="F38" s="520" t="n">
        <v>6</v>
      </c>
      <c r="G38" s="520" t="n">
        <v>7</v>
      </c>
      <c r="H38" s="520" t="n">
        <v>8</v>
      </c>
      <c r="I38" s="520" t="n">
        <v>9</v>
      </c>
      <c r="J38" s="520" t="n">
        <v>10</v>
      </c>
      <c r="K38" s="520" t="n">
        <v>11</v>
      </c>
      <c r="L38" s="520" t="n">
        <v>12</v>
      </c>
      <c r="M38" s="520" t="n">
        <v>13</v>
      </c>
      <c r="N38" s="520" t="n">
        <v>14</v>
      </c>
      <c r="O38" s="523" t="inlineStr">
        <is>
          <t>〉〉〉</t>
        </is>
      </c>
      <c r="P38" s="520" t="n">
        <v>2</v>
      </c>
      <c r="Q38" s="520" t="n">
        <v>3</v>
      </c>
    </row>
    <row r="39">
      <c r="A39" s="354" t="n"/>
      <c r="B39" s="219">
        <f>VLOOKUP(B38,オッズデータ入力!$C$8:$D$25,2,FALSE)</f>
        <v/>
      </c>
      <c r="D39" s="219">
        <f>VLOOKUP(D38,オッズデータ入力!$C$8:$D$25,2,FALSE)</f>
        <v/>
      </c>
      <c r="E39" s="219">
        <f>VLOOKUP(E38,オッズデータ入力!$C$8:$D$25,2,FALSE)</f>
        <v/>
      </c>
      <c r="F39" s="219">
        <f>VLOOKUP(F38,オッズデータ入力!$C$8:$D$25,2,FALSE)</f>
        <v/>
      </c>
      <c r="G39" s="219">
        <f>VLOOKUP(G38,オッズデータ入力!$C$8:$D$25,2,FALSE)</f>
        <v/>
      </c>
      <c r="H39" s="219">
        <f>VLOOKUP(H38,オッズデータ入力!$C$8:$D$25,2,FALSE)</f>
        <v/>
      </c>
      <c r="I39" s="219">
        <f>VLOOKUP(I38,オッズデータ入力!$C$8:$D$25,2,FALSE)</f>
        <v/>
      </c>
      <c r="J39" s="219">
        <f>VLOOKUP(J38,オッズデータ入力!$C$8:$D$25,2,FALSE)</f>
        <v/>
      </c>
      <c r="K39" s="219">
        <f>VLOOKUP(K38,オッズデータ入力!$C$8:$D$25,2,FALSE)</f>
        <v/>
      </c>
      <c r="L39" s="219">
        <f>VLOOKUP(L38,オッズデータ入力!$C$8:$D$25,2,FALSE)</f>
        <v/>
      </c>
      <c r="M39" s="219">
        <f>VLOOKUP(M38,オッズデータ入力!$C$8:$D$25,2,FALSE)</f>
        <v/>
      </c>
      <c r="N39" s="219">
        <f>VLOOKUP(N38,オッズデータ入力!$C$8:$D$25,2,FALSE)</f>
        <v/>
      </c>
      <c r="P39" s="219">
        <f>VLOOKUP(P38,オッズデータ入力!$C$8:$D$25,2,FALSE)</f>
        <v/>
      </c>
      <c r="Q39" s="219">
        <f>VLOOKUP(Q38,オッズデータ入力!$C$8:$D$25,2,FALSE)</f>
        <v/>
      </c>
    </row>
    <row r="40">
      <c r="A40" s="354" t="n"/>
      <c r="D40" s="115" t="n"/>
      <c r="I40" s="115" t="n"/>
    </row>
    <row r="41">
      <c r="A41" s="354" t="n"/>
      <c r="B41" s="1" t="inlineStr">
        <is>
          <t>〇</t>
        </is>
      </c>
      <c r="C41" s="1" t="inlineStr">
        <is>
          <t>▲</t>
        </is>
      </c>
      <c r="E41" s="1" t="inlineStr">
        <is>
          <t>◎</t>
        </is>
      </c>
      <c r="G41" s="1" t="inlineStr">
        <is>
          <t>△</t>
        </is>
      </c>
      <c r="H41" s="1" t="inlineStr">
        <is>
          <t>△</t>
        </is>
      </c>
      <c r="I41" s="1" t="inlineStr">
        <is>
          <t>△</t>
        </is>
      </c>
      <c r="J41" s="1" t="inlineStr">
        <is>
          <t>△</t>
        </is>
      </c>
      <c r="K41" s="1" t="inlineStr">
        <is>
          <t>△</t>
        </is>
      </c>
      <c r="L41" s="1" t="inlineStr">
        <is>
          <t>△</t>
        </is>
      </c>
      <c r="M41" s="1" t="inlineStr">
        <is>
          <t>△</t>
        </is>
      </c>
      <c r="N41" s="1" t="inlineStr">
        <is>
          <t>△</t>
        </is>
      </c>
      <c r="O41" s="1" t="inlineStr">
        <is>
          <t>△</t>
        </is>
      </c>
      <c r="P41" s="1" t="inlineStr">
        <is>
          <t>△</t>
        </is>
      </c>
      <c r="Q41" s="1" t="inlineStr">
        <is>
          <t>△</t>
        </is>
      </c>
    </row>
    <row r="42">
      <c r="A42" s="354" t="inlineStr">
        <is>
          <t>③　2-1-11（22点）</t>
        </is>
      </c>
      <c r="B42" s="520" t="n">
        <v>2</v>
      </c>
      <c r="C42" s="520" t="n">
        <v>3</v>
      </c>
      <c r="D42" s="523" t="inlineStr">
        <is>
          <t>〉〉〉</t>
        </is>
      </c>
      <c r="E42" s="520" t="n">
        <v>1</v>
      </c>
      <c r="F42" s="523" t="inlineStr">
        <is>
          <t>〉〉〉</t>
        </is>
      </c>
      <c r="G42" s="520" t="n">
        <v>4</v>
      </c>
      <c r="H42" s="520" t="n">
        <v>5</v>
      </c>
      <c r="I42" s="520" t="n">
        <v>6</v>
      </c>
      <c r="J42" s="520" t="n">
        <v>7</v>
      </c>
      <c r="K42" s="520" t="n">
        <v>8</v>
      </c>
      <c r="L42" s="520" t="n">
        <v>9</v>
      </c>
      <c r="M42" s="520" t="n">
        <v>10</v>
      </c>
      <c r="N42" s="520" t="n">
        <v>11</v>
      </c>
      <c r="O42" s="520" t="n">
        <v>12</v>
      </c>
      <c r="P42" s="520" t="n">
        <v>13</v>
      </c>
      <c r="Q42" s="520" t="n">
        <v>14</v>
      </c>
    </row>
    <row r="43">
      <c r="A43" s="354" t="n"/>
      <c r="B43" s="219">
        <f>VLOOKUP(B42,オッズデータ入力!$C$8:$D$25,2,FALSE)</f>
        <v/>
      </c>
      <c r="C43" s="219">
        <f>VLOOKUP(C42,オッズデータ入力!$C$8:$D$25,2,FALSE)</f>
        <v/>
      </c>
      <c r="E43" s="219">
        <f>VLOOKUP(E42,オッズデータ入力!$C$8:$D$25,2,FALSE)</f>
        <v/>
      </c>
      <c r="G43" s="219">
        <f>VLOOKUP(G42,オッズデータ入力!$C$8:$D$25,2,FALSE)</f>
        <v/>
      </c>
      <c r="H43" s="219">
        <f>VLOOKUP(H42,オッズデータ入力!$C$8:$D$25,2,FALSE)</f>
        <v/>
      </c>
      <c r="I43" s="219">
        <f>VLOOKUP(I42,オッズデータ入力!$C$8:$D$25,2,FALSE)</f>
        <v/>
      </c>
      <c r="J43" s="219">
        <f>VLOOKUP(J42,オッズデータ入力!$C$8:$D$25,2,FALSE)</f>
        <v/>
      </c>
      <c r="K43" s="219">
        <f>VLOOKUP(K42,オッズデータ入力!$C$8:$D$25,2,FALSE)</f>
        <v/>
      </c>
      <c r="L43" s="219">
        <f>VLOOKUP(L42,オッズデータ入力!$C$8:$D$25,2,FALSE)</f>
        <v/>
      </c>
      <c r="M43" s="219">
        <f>VLOOKUP(M42,オッズデータ入力!$C$8:$D$25,2,FALSE)</f>
        <v/>
      </c>
      <c r="N43" s="219">
        <f>VLOOKUP(N42,オッズデータ入力!$C$8:$D$25,2,FALSE)</f>
        <v/>
      </c>
      <c r="O43" s="219">
        <f>VLOOKUP(O42,オッズデータ入力!$C$8:$D$25,2,FALSE)</f>
        <v/>
      </c>
      <c r="P43" s="219">
        <f>VLOOKUP(P42,オッズデータ入力!$C$8:$D$25,2,FALSE)</f>
        <v/>
      </c>
      <c r="Q43" s="219">
        <f>VLOOKUP(Q42,オッズデータ入力!$C$8:$D$25,2,FALSE)</f>
        <v/>
      </c>
    </row>
    <row r="44">
      <c r="A44" s="354" t="n"/>
      <c r="B44" s="1" t="n"/>
      <c r="C44" s="1" t="n"/>
      <c r="E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354" t="n"/>
      <c r="B45" s="1" t="inlineStr">
        <is>
          <t>〇</t>
        </is>
      </c>
      <c r="C45" s="1" t="inlineStr">
        <is>
          <t>▲</t>
        </is>
      </c>
      <c r="E45" s="1" t="inlineStr">
        <is>
          <t>△</t>
        </is>
      </c>
      <c r="F45" s="1" t="inlineStr">
        <is>
          <t>△</t>
        </is>
      </c>
      <c r="G45" s="1" t="inlineStr">
        <is>
          <t>△</t>
        </is>
      </c>
      <c r="H45" s="1" t="inlineStr">
        <is>
          <t>△</t>
        </is>
      </c>
      <c r="I45" s="1" t="inlineStr">
        <is>
          <t>△</t>
        </is>
      </c>
      <c r="J45" s="1" t="inlineStr">
        <is>
          <t>△</t>
        </is>
      </c>
      <c r="K45" s="1" t="inlineStr">
        <is>
          <t>△</t>
        </is>
      </c>
      <c r="L45" s="1" t="inlineStr">
        <is>
          <t>△</t>
        </is>
      </c>
      <c r="M45" s="1" t="inlineStr">
        <is>
          <t>△</t>
        </is>
      </c>
      <c r="N45" s="1" t="inlineStr">
        <is>
          <t>△</t>
        </is>
      </c>
      <c r="O45" s="1" t="inlineStr">
        <is>
          <t>△</t>
        </is>
      </c>
      <c r="Q45" s="1" t="inlineStr">
        <is>
          <t>◎</t>
        </is>
      </c>
    </row>
    <row r="46">
      <c r="A46" s="354" t="inlineStr">
        <is>
          <t>④　2-11-1（22点）</t>
        </is>
      </c>
      <c r="B46" s="520" t="n">
        <v>2</v>
      </c>
      <c r="C46" s="520" t="n">
        <v>3</v>
      </c>
      <c r="D46" s="523" t="inlineStr">
        <is>
          <t>〉〉〉</t>
        </is>
      </c>
      <c r="E46" s="520" t="n">
        <v>4</v>
      </c>
      <c r="F46" s="520" t="n">
        <v>5</v>
      </c>
      <c r="G46" s="520" t="n">
        <v>6</v>
      </c>
      <c r="H46" s="520" t="n">
        <v>7</v>
      </c>
      <c r="I46" s="520" t="n">
        <v>8</v>
      </c>
      <c r="J46" s="520" t="n">
        <v>9</v>
      </c>
      <c r="K46" s="520" t="n">
        <v>10</v>
      </c>
      <c r="L46" s="520" t="n">
        <v>11</v>
      </c>
      <c r="M46" s="520" t="n">
        <v>12</v>
      </c>
      <c r="N46" s="520" t="n">
        <v>13</v>
      </c>
      <c r="O46" s="520" t="n">
        <v>14</v>
      </c>
      <c r="P46" s="523" t="inlineStr">
        <is>
          <t>〉〉〉</t>
        </is>
      </c>
      <c r="Q46" s="520" t="n">
        <v>1</v>
      </c>
    </row>
    <row r="47">
      <c r="A47" s="354" t="n"/>
      <c r="B47" s="219">
        <f>VLOOKUP(B46,オッズデータ入力!$C$8:$D$25,2,FALSE)</f>
        <v/>
      </c>
      <c r="C47" s="219">
        <f>VLOOKUP(C46,オッズデータ入力!$C$8:$D$25,2,FALSE)</f>
        <v/>
      </c>
      <c r="E47" s="219">
        <f>VLOOKUP(E46,オッズデータ入力!$C$8:$D$25,2,FALSE)</f>
        <v/>
      </c>
      <c r="F47" s="219">
        <f>VLOOKUP(F46,オッズデータ入力!$C$8:$D$25,2,FALSE)</f>
        <v/>
      </c>
      <c r="G47" s="219">
        <f>VLOOKUP(G46,オッズデータ入力!$C$8:$D$25,2,FALSE)</f>
        <v/>
      </c>
      <c r="H47" s="219">
        <f>VLOOKUP(H46,オッズデータ入力!$C$8:$D$25,2,FALSE)</f>
        <v/>
      </c>
      <c r="I47" s="219">
        <f>VLOOKUP(I46,オッズデータ入力!$C$8:$D$25,2,FALSE)</f>
        <v/>
      </c>
      <c r="J47" s="219">
        <f>VLOOKUP(J46,オッズデータ入力!$C$8:$D$25,2,FALSE)</f>
        <v/>
      </c>
      <c r="K47" s="219">
        <f>VLOOKUP(K46,オッズデータ入力!$C$8:$D$25,2,FALSE)</f>
        <v/>
      </c>
      <c r="L47" s="219">
        <f>VLOOKUP(L46,オッズデータ入力!$C$8:$D$25,2,FALSE)</f>
        <v/>
      </c>
      <c r="M47" s="219">
        <f>VLOOKUP(M46,オッズデータ入力!$C$8:$D$25,2,FALSE)</f>
        <v/>
      </c>
      <c r="N47" s="219">
        <f>VLOOKUP(N46,オッズデータ入力!$C$8:$D$25,2,FALSE)</f>
        <v/>
      </c>
      <c r="O47" s="219">
        <f>VLOOKUP(O46,オッズデータ入力!$C$8:$D$25,2,FALSE)</f>
        <v/>
      </c>
      <c r="Q47" s="219">
        <f>VLOOKUP(Q46,オッズデータ入力!$C$8:$D$25,2,FALSE)</f>
        <v/>
      </c>
    </row>
    <row r="48">
      <c r="A48" s="354" t="n"/>
      <c r="B48" s="1" t="n"/>
      <c r="C48" s="1" t="n"/>
      <c r="E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 s="354" t="n"/>
      <c r="B49" s="1" t="inlineStr">
        <is>
          <t>△</t>
        </is>
      </c>
      <c r="C49" s="1" t="inlineStr">
        <is>
          <t>△</t>
        </is>
      </c>
      <c r="D49" s="1" t="inlineStr">
        <is>
          <t>△</t>
        </is>
      </c>
      <c r="E49" s="1" t="inlineStr">
        <is>
          <t>△</t>
        </is>
      </c>
      <c r="F49" s="1" t="inlineStr">
        <is>
          <t>△</t>
        </is>
      </c>
      <c r="G49" s="1" t="inlineStr">
        <is>
          <t>△</t>
        </is>
      </c>
      <c r="H49" s="1" t="inlineStr">
        <is>
          <t>△</t>
        </is>
      </c>
      <c r="I49" s="1" t="inlineStr">
        <is>
          <t>△</t>
        </is>
      </c>
      <c r="J49" s="1" t="inlineStr">
        <is>
          <t>△</t>
        </is>
      </c>
      <c r="K49" s="1" t="inlineStr">
        <is>
          <t>△</t>
        </is>
      </c>
      <c r="L49" s="1" t="inlineStr">
        <is>
          <t>△</t>
        </is>
      </c>
      <c r="N49" s="1" t="inlineStr">
        <is>
          <t>〇</t>
        </is>
      </c>
      <c r="O49" s="1" t="inlineStr">
        <is>
          <t>▲</t>
        </is>
      </c>
      <c r="Q49" s="1" t="inlineStr">
        <is>
          <t>◎</t>
        </is>
      </c>
    </row>
    <row r="50">
      <c r="A50" s="354" t="inlineStr">
        <is>
          <t>⑤　11-2-1（22点）</t>
        </is>
      </c>
      <c r="B50" s="520" t="n">
        <v>4</v>
      </c>
      <c r="C50" s="520" t="n">
        <v>5</v>
      </c>
      <c r="D50" s="520" t="n">
        <v>6</v>
      </c>
      <c r="E50" s="520" t="n">
        <v>7</v>
      </c>
      <c r="F50" s="520" t="n">
        <v>8</v>
      </c>
      <c r="G50" s="520" t="n">
        <v>9</v>
      </c>
      <c r="H50" s="520" t="n">
        <v>10</v>
      </c>
      <c r="I50" s="520" t="n">
        <v>11</v>
      </c>
      <c r="J50" s="520" t="n">
        <v>12</v>
      </c>
      <c r="K50" s="520" t="n">
        <v>13</v>
      </c>
      <c r="L50" s="520" t="n">
        <v>14</v>
      </c>
      <c r="M50" s="523" t="inlineStr">
        <is>
          <t>〉〉〉</t>
        </is>
      </c>
      <c r="N50" s="520" t="n">
        <v>2</v>
      </c>
      <c r="O50" s="520" t="n">
        <v>3</v>
      </c>
      <c r="P50" s="523" t="inlineStr">
        <is>
          <t>〉〉〉</t>
        </is>
      </c>
      <c r="Q50" s="520" t="n">
        <v>1</v>
      </c>
    </row>
    <row r="51">
      <c r="A51" s="354" t="n"/>
      <c r="B51" s="219">
        <f>VLOOKUP(B50,オッズデータ入力!$C$8:$D$25,2,FALSE)</f>
        <v/>
      </c>
      <c r="C51" s="219">
        <f>VLOOKUP(C50,オッズデータ入力!$C$8:$D$25,2,FALSE)</f>
        <v/>
      </c>
      <c r="D51" s="219">
        <f>VLOOKUP(D50,オッズデータ入力!$C$8:$D$25,2,FALSE)</f>
        <v/>
      </c>
      <c r="E51" s="219">
        <f>VLOOKUP(E50,オッズデータ入力!$C$8:$D$25,2,FALSE)</f>
        <v/>
      </c>
      <c r="F51" s="219">
        <f>VLOOKUP(F50,オッズデータ入力!$C$8:$D$25,2,FALSE)</f>
        <v/>
      </c>
      <c r="G51" s="219">
        <f>VLOOKUP(G50,オッズデータ入力!$C$8:$D$25,2,FALSE)</f>
        <v/>
      </c>
      <c r="H51" s="219">
        <f>VLOOKUP(H50,オッズデータ入力!$C$8:$D$25,2,FALSE)</f>
        <v/>
      </c>
      <c r="I51" s="219">
        <f>VLOOKUP(I50,オッズデータ入力!$C$8:$D$25,2,FALSE)</f>
        <v/>
      </c>
      <c r="J51" s="219">
        <f>VLOOKUP(J50,オッズデータ入力!$C$8:$D$25,2,FALSE)</f>
        <v/>
      </c>
      <c r="K51" s="219">
        <f>VLOOKUP(K50,オッズデータ入力!$C$8:$D$25,2,FALSE)</f>
        <v/>
      </c>
      <c r="L51" s="219">
        <f>VLOOKUP(L50,オッズデータ入力!$C$8:$D$25,2,FALSE)</f>
        <v/>
      </c>
      <c r="N51" s="219">
        <f>VLOOKUP(N50,オッズデータ入力!$C$8:$D$25,2,FALSE)</f>
        <v/>
      </c>
      <c r="O51" s="219">
        <f>VLOOKUP(O50,オッズデータ入力!$C$8:$D$25,2,FALSE)</f>
        <v/>
      </c>
      <c r="Q51" s="219">
        <f>VLOOKUP(Q50,オッズデータ入力!$C$8:$D$25,2,FALSE)</f>
        <v/>
      </c>
    </row>
    <row r="52">
      <c r="A52" s="354" t="n"/>
      <c r="B52" s="1" t="n"/>
      <c r="C52" s="1" t="n"/>
      <c r="E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354" t="n"/>
      <c r="B53" s="1" t="inlineStr">
        <is>
          <t>△</t>
        </is>
      </c>
      <c r="C53" s="1" t="inlineStr">
        <is>
          <t>△</t>
        </is>
      </c>
      <c r="D53" s="1" t="inlineStr">
        <is>
          <t>△</t>
        </is>
      </c>
      <c r="E53" s="1" t="inlineStr">
        <is>
          <t>△</t>
        </is>
      </c>
      <c r="F53" s="1" t="inlineStr">
        <is>
          <t>△</t>
        </is>
      </c>
      <c r="G53" s="1" t="inlineStr">
        <is>
          <t>△</t>
        </is>
      </c>
      <c r="H53" s="1" t="inlineStr">
        <is>
          <t>△</t>
        </is>
      </c>
      <c r="I53" s="1" t="inlineStr">
        <is>
          <t>△</t>
        </is>
      </c>
      <c r="J53" s="1" t="inlineStr">
        <is>
          <t>△</t>
        </is>
      </c>
      <c r="K53" s="1" t="inlineStr">
        <is>
          <t>△</t>
        </is>
      </c>
      <c r="L53" s="1" t="inlineStr">
        <is>
          <t>△</t>
        </is>
      </c>
      <c r="N53" s="1" t="inlineStr">
        <is>
          <t>◎</t>
        </is>
      </c>
      <c r="P53" s="1" t="inlineStr">
        <is>
          <t>〇</t>
        </is>
      </c>
      <c r="Q53" s="1" t="inlineStr">
        <is>
          <t>▲</t>
        </is>
      </c>
    </row>
    <row r="54">
      <c r="A54" s="354" t="inlineStr">
        <is>
          <t>⑥　11-1-2（22点）</t>
        </is>
      </c>
      <c r="B54" s="520" t="n">
        <v>4</v>
      </c>
      <c r="C54" s="520" t="n">
        <v>5</v>
      </c>
      <c r="D54" s="520" t="n">
        <v>6</v>
      </c>
      <c r="E54" s="520" t="n">
        <v>7</v>
      </c>
      <c r="F54" s="520" t="n">
        <v>8</v>
      </c>
      <c r="G54" s="520" t="n">
        <v>9</v>
      </c>
      <c r="H54" s="520" t="n">
        <v>10</v>
      </c>
      <c r="I54" s="520" t="n">
        <v>11</v>
      </c>
      <c r="J54" s="520" t="n">
        <v>12</v>
      </c>
      <c r="K54" s="520" t="n">
        <v>13</v>
      </c>
      <c r="L54" s="520" t="n">
        <v>14</v>
      </c>
      <c r="M54" s="523" t="inlineStr">
        <is>
          <t>〉〉〉</t>
        </is>
      </c>
      <c r="N54" s="520" t="n">
        <v>1</v>
      </c>
      <c r="O54" s="523" t="inlineStr">
        <is>
          <t>〉〉〉</t>
        </is>
      </c>
      <c r="P54" s="520" t="n">
        <v>2</v>
      </c>
      <c r="Q54" s="520" t="n">
        <v>3</v>
      </c>
    </row>
    <row r="55">
      <c r="A55" s="354" t="n"/>
      <c r="B55" s="219">
        <f>VLOOKUP(B54,オッズデータ入力!$C$8:$D$25,2,FALSE)</f>
        <v/>
      </c>
      <c r="C55" s="219">
        <f>VLOOKUP(C54,オッズデータ入力!$C$8:$D$25,2,FALSE)</f>
        <v/>
      </c>
      <c r="D55" s="219">
        <f>VLOOKUP(D54,オッズデータ入力!$C$8:$D$25,2,FALSE)</f>
        <v/>
      </c>
      <c r="E55" s="219">
        <f>VLOOKUP(E54,オッズデータ入力!$C$8:$D$25,2,FALSE)</f>
        <v/>
      </c>
      <c r="F55" s="219">
        <f>VLOOKUP(F54,オッズデータ入力!$C$8:$D$25,2,FALSE)</f>
        <v/>
      </c>
      <c r="G55" s="219">
        <f>VLOOKUP(G54,オッズデータ入力!$C$8:$D$25,2,FALSE)</f>
        <v/>
      </c>
      <c r="H55" s="219">
        <f>VLOOKUP(H54,オッズデータ入力!$C$8:$D$25,2,FALSE)</f>
        <v/>
      </c>
      <c r="I55" s="219">
        <f>VLOOKUP(I54,オッズデータ入力!$C$8:$D$25,2,FALSE)</f>
        <v/>
      </c>
      <c r="J55" s="219">
        <f>VLOOKUP(J54,オッズデータ入力!$C$8:$D$25,2,FALSE)</f>
        <v/>
      </c>
      <c r="K55" s="219">
        <f>VLOOKUP(K54,オッズデータ入力!$C$8:$D$25,2,FALSE)</f>
        <v/>
      </c>
      <c r="L55" s="219">
        <f>VLOOKUP(L54,オッズデータ入力!$C$8:$D$25,2,FALSE)</f>
        <v/>
      </c>
      <c r="N55" s="219">
        <f>VLOOKUP(N54,オッズデータ入力!$C$8:$D$25,2,FALSE)</f>
        <v/>
      </c>
      <c r="P55" s="219">
        <f>VLOOKUP(P54,オッズデータ入力!$C$8:$D$25,2,FALSE)</f>
        <v/>
      </c>
      <c r="Q55" s="219">
        <f>VLOOKUP(Q54,オッズデータ入力!$C$8:$D$25,2,FALSE)</f>
        <v/>
      </c>
    </row>
  </sheetData>
  <mergeCells count="3">
    <mergeCell ref="A32:C32"/>
    <mergeCell ref="A1:E1"/>
    <mergeCell ref="A11:C11"/>
  </mergeCells>
  <pageMargins left="0.7086614173228347" right="0.7086614173228347" top="0.7480314960629921" bottom="0.7480314960629921" header="0.3149606299212598" footer="0.3149606299212598"/>
  <pageSetup orientation="portrait" paperSize="9" scale="56" horizontalDpi="4294967293" verticalDpi="0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Q49"/>
  <sheetViews>
    <sheetView workbookViewId="0">
      <selection activeCell="K17" sqref="K17"/>
    </sheetView>
  </sheetViews>
  <sheetFormatPr baseColWidth="8" defaultRowHeight="18.75"/>
  <cols>
    <col width="28.875" customWidth="1" style="354" min="1" max="1"/>
    <col width="6.625" customWidth="1" min="2" max="20"/>
  </cols>
  <sheetData>
    <row r="1" ht="27.75" customHeight="1" thickBot="1">
      <c r="A1" s="356" t="inlineStr">
        <is>
          <t xml:space="preserve">WIN2 3連単フォーメーション </t>
        </is>
      </c>
      <c r="B1" s="442" t="n"/>
      <c r="C1" s="442" t="n"/>
      <c r="D1" s="443" t="n"/>
    </row>
    <row r="2" customFormat="1" s="1">
      <c r="A2" s="354" t="n"/>
      <c r="B2" s="1" t="inlineStr">
        <is>
          <t>◎</t>
        </is>
      </c>
      <c r="D2" s="1" t="inlineStr">
        <is>
          <t>〇</t>
        </is>
      </c>
      <c r="E2" s="1" t="inlineStr">
        <is>
          <t>▲</t>
        </is>
      </c>
      <c r="G2" s="1" t="inlineStr">
        <is>
          <t>〇</t>
        </is>
      </c>
      <c r="H2" s="1" t="inlineStr">
        <is>
          <t>▲</t>
        </is>
      </c>
      <c r="I2" s="1" t="inlineStr">
        <is>
          <t>△</t>
        </is>
      </c>
      <c r="J2" s="1" t="inlineStr">
        <is>
          <t>★</t>
        </is>
      </c>
      <c r="K2" s="1" t="inlineStr">
        <is>
          <t>☆</t>
        </is>
      </c>
      <c r="L2" s="1" t="inlineStr">
        <is>
          <t>◆</t>
        </is>
      </c>
    </row>
    <row r="3" customFormat="1" s="521">
      <c r="A3" s="522" t="inlineStr">
        <is>
          <t>①　1-2-6（10点）</t>
        </is>
      </c>
      <c r="B3" s="520" t="n">
        <v>1</v>
      </c>
      <c r="C3" s="523" t="inlineStr">
        <is>
          <t>〉〉〉</t>
        </is>
      </c>
      <c r="D3" s="520" t="n">
        <v>2</v>
      </c>
      <c r="E3" s="520" t="n">
        <v>3</v>
      </c>
      <c r="F3" s="523" t="inlineStr">
        <is>
          <t>〉〉〉</t>
        </is>
      </c>
      <c r="G3" s="520" t="n">
        <v>2</v>
      </c>
      <c r="H3" s="520" t="n">
        <v>3</v>
      </c>
      <c r="I3" s="520" t="n">
        <v>4</v>
      </c>
      <c r="J3" s="520" t="n">
        <v>5</v>
      </c>
      <c r="K3" s="520" t="n">
        <v>6</v>
      </c>
      <c r="L3" s="520" t="n">
        <v>7</v>
      </c>
      <c r="M3" s="522" t="n"/>
    </row>
    <row r="4" customFormat="1" s="1">
      <c r="A4" s="115" t="n"/>
      <c r="B4" s="219">
        <f>VLOOKUP(B3,オッズデータ入力!$O$8:$P$25,2,FALSE)</f>
        <v/>
      </c>
      <c r="C4" s="353" t="n"/>
      <c r="D4" s="219">
        <f>VLOOKUP(D3,オッズデータ入力!$O$8:$P$25,2,FALSE)</f>
        <v/>
      </c>
      <c r="E4" s="219">
        <f>VLOOKUP(E3,オッズデータ入力!$O$8:$P$25,2,FALSE)</f>
        <v/>
      </c>
      <c r="G4" s="219">
        <f>VLOOKUP(G3,オッズデータ入力!$O$8:$P$25,2,FALSE)</f>
        <v/>
      </c>
      <c r="H4" s="219">
        <f>VLOOKUP(H3,オッズデータ入力!$O$8:$P$25,2,FALSE)</f>
        <v/>
      </c>
      <c r="I4" s="219">
        <f>VLOOKUP(I3,オッズデータ入力!$O$8:$P$25,2,FALSE)</f>
        <v/>
      </c>
      <c r="J4" s="219">
        <f>VLOOKUP(J3,オッズデータ入力!$O$8:$P$25,2,FALSE)</f>
        <v/>
      </c>
      <c r="K4" s="219">
        <f>VLOOKUP(K3,オッズデータ入力!$O$8:$P$25,2,FALSE)</f>
        <v/>
      </c>
      <c r="L4" s="219">
        <f>VLOOKUP(L3,オッズデータ入力!$O$8:$P$25,2,FALSE)</f>
        <v/>
      </c>
    </row>
    <row r="5">
      <c r="A5" s="115" t="n"/>
      <c r="B5" t="inlineStr">
        <is>
          <t>※　１着に自信あり、２着候補も絞れている場合（２着に中穴を入れておく）</t>
        </is>
      </c>
    </row>
    <row r="6" ht="37.5" customHeight="1">
      <c r="A6" s="115" t="n"/>
    </row>
    <row r="7">
      <c r="A7" s="115" t="n"/>
      <c r="B7" s="1" t="inlineStr">
        <is>
          <t>◎</t>
        </is>
      </c>
      <c r="C7" s="1" t="n"/>
      <c r="D7" s="1" t="inlineStr">
        <is>
          <t>〇</t>
        </is>
      </c>
      <c r="E7" s="1" t="inlineStr">
        <is>
          <t>▲</t>
        </is>
      </c>
      <c r="F7" s="1" t="inlineStr">
        <is>
          <t>△</t>
        </is>
      </c>
      <c r="H7" s="1" t="inlineStr">
        <is>
          <t>〇</t>
        </is>
      </c>
      <c r="I7" s="1" t="inlineStr">
        <is>
          <t>▲</t>
        </is>
      </c>
      <c r="J7" s="1" t="inlineStr">
        <is>
          <t>△</t>
        </is>
      </c>
      <c r="K7" s="1" t="inlineStr">
        <is>
          <t>★</t>
        </is>
      </c>
      <c r="L7" s="1" t="inlineStr">
        <is>
          <t>☆</t>
        </is>
      </c>
      <c r="M7" s="1" t="inlineStr">
        <is>
          <t>◆</t>
        </is>
      </c>
      <c r="N7" s="1" t="inlineStr">
        <is>
          <t>◇</t>
        </is>
      </c>
    </row>
    <row r="8">
      <c r="A8" s="115" t="inlineStr">
        <is>
          <t>②　1-3-7（18点）</t>
        </is>
      </c>
      <c r="B8" s="520" t="n">
        <v>1</v>
      </c>
      <c r="C8" s="523" t="inlineStr">
        <is>
          <t>〉〉〉</t>
        </is>
      </c>
      <c r="D8" s="520" t="n">
        <v>2</v>
      </c>
      <c r="E8" s="520" t="n">
        <v>3</v>
      </c>
      <c r="F8" s="520" t="n">
        <v>4</v>
      </c>
      <c r="G8" s="523" t="inlineStr">
        <is>
          <t>〉〉〉</t>
        </is>
      </c>
      <c r="H8" s="520" t="n">
        <v>2</v>
      </c>
      <c r="I8" s="520" t="n">
        <v>3</v>
      </c>
      <c r="J8" s="520" t="n">
        <v>4</v>
      </c>
      <c r="K8" s="520" t="n">
        <v>5</v>
      </c>
      <c r="L8" s="520" t="n">
        <v>6</v>
      </c>
      <c r="M8" s="520" t="n">
        <v>7</v>
      </c>
      <c r="N8" s="520" t="n">
        <v>8</v>
      </c>
    </row>
    <row r="9">
      <c r="B9" s="219">
        <f>VLOOKUP(B8,オッズデータ入力!$O$8:$P$25,2,FALSE)</f>
        <v/>
      </c>
      <c r="C9" s="353" t="n"/>
      <c r="D9" s="219">
        <f>VLOOKUP(D8,オッズデータ入力!$O$8:$P$25,2,FALSE)</f>
        <v/>
      </c>
      <c r="E9" s="219">
        <f>VLOOKUP(E8,オッズデータ入力!$O$8:$P$25,2,FALSE)</f>
        <v/>
      </c>
      <c r="F9" s="219">
        <f>VLOOKUP(F8,オッズデータ入力!$O$8:$P$25,2,FALSE)</f>
        <v/>
      </c>
      <c r="H9" s="219">
        <f>VLOOKUP(H8,オッズデータ入力!$O$8:$P$25,2,FALSE)</f>
        <v/>
      </c>
      <c r="I9" s="219">
        <f>VLOOKUP(I8,オッズデータ入力!$O$8:$P$25,2,FALSE)</f>
        <v/>
      </c>
      <c r="J9" s="219">
        <f>VLOOKUP(J8,オッズデータ入力!$O$8:$P$25,2,FALSE)</f>
        <v/>
      </c>
      <c r="K9" s="219">
        <f>VLOOKUP(K8,オッズデータ入力!$O$8:$P$25,2,FALSE)</f>
        <v/>
      </c>
      <c r="L9" s="219">
        <f>VLOOKUP(L8,オッズデータ入力!$O$8:$P$25,2,FALSE)</f>
        <v/>
      </c>
      <c r="M9" s="219">
        <f>VLOOKUP(M8,オッズデータ入力!$O$8:$P$25,2,FALSE)</f>
        <v/>
      </c>
      <c r="N9" s="219">
        <f>VLOOKUP(N8,オッズデータ入力!$O$8:$P$25,2,FALSE)</f>
        <v/>
      </c>
    </row>
    <row r="10">
      <c r="B10" t="inlineStr">
        <is>
          <t>※　2着候補を3頭まで増やせる買い方（3着候補を7頭まで選べる）</t>
        </is>
      </c>
    </row>
    <row r="12" ht="37.5" customHeight="1"/>
    <row r="13">
      <c r="A13" s="354" t="inlineStr">
        <is>
          <t>③　2-2-5（10点）</t>
        </is>
      </c>
      <c r="B13" s="1" t="inlineStr">
        <is>
          <t>◎</t>
        </is>
      </c>
      <c r="C13" s="1" t="inlineStr">
        <is>
          <t>〇</t>
        </is>
      </c>
      <c r="E13" s="1" t="inlineStr">
        <is>
          <t>◎</t>
        </is>
      </c>
      <c r="F13" s="1" t="inlineStr">
        <is>
          <t>〇</t>
        </is>
      </c>
      <c r="H13" s="1" t="inlineStr">
        <is>
          <t>▲</t>
        </is>
      </c>
      <c r="I13" s="1" t="inlineStr">
        <is>
          <t>△</t>
        </is>
      </c>
      <c r="J13" s="1" t="inlineStr">
        <is>
          <t>★</t>
        </is>
      </c>
      <c r="K13" s="1" t="inlineStr">
        <is>
          <t>☆</t>
        </is>
      </c>
      <c r="L13" s="1" t="inlineStr">
        <is>
          <t>◆</t>
        </is>
      </c>
    </row>
    <row r="14">
      <c r="B14" s="520" t="n">
        <v>1</v>
      </c>
      <c r="C14" s="520" t="n">
        <v>2</v>
      </c>
      <c r="D14" s="523" t="inlineStr">
        <is>
          <t>〉〉〉</t>
        </is>
      </c>
      <c r="E14" s="520" t="n">
        <v>1</v>
      </c>
      <c r="F14" s="520" t="n">
        <v>2</v>
      </c>
      <c r="G14" s="523" t="inlineStr">
        <is>
          <t>〉〉〉</t>
        </is>
      </c>
      <c r="H14" s="520" t="n">
        <v>3</v>
      </c>
      <c r="I14" s="520" t="n">
        <v>4</v>
      </c>
      <c r="J14" s="520" t="n">
        <v>5</v>
      </c>
      <c r="K14" s="520" t="n">
        <v>6</v>
      </c>
      <c r="L14" s="520" t="n">
        <v>7</v>
      </c>
    </row>
    <row r="15">
      <c r="B15" s="219">
        <f>VLOOKUP(B14,オッズデータ入力!$O$8:$P$25,2,FALSE)</f>
        <v/>
      </c>
      <c r="C15" s="219">
        <f>VLOOKUP(C14,オッズデータ入力!$O$8:$P$25,2,FALSE)</f>
        <v/>
      </c>
      <c r="D15" s="353" t="n"/>
      <c r="E15" s="219">
        <f>VLOOKUP(E14,オッズデータ入力!$O$8:$P$25,2,FALSE)</f>
        <v/>
      </c>
      <c r="F15" s="219">
        <f>VLOOKUP(F14,オッズデータ入力!$O$8:$P$25,2,FALSE)</f>
        <v/>
      </c>
      <c r="G15" s="353" t="n"/>
      <c r="H15" s="219">
        <f>VLOOKUP(H14,オッズデータ入力!$O$8:$P$25,2,FALSE)</f>
        <v/>
      </c>
      <c r="I15" s="219">
        <f>VLOOKUP(I14,オッズデータ入力!$O$8:$P$25,2,FALSE)</f>
        <v/>
      </c>
      <c r="J15" s="219">
        <f>VLOOKUP(J14,オッズデータ入力!$O$8:$P$25,2,FALSE)</f>
        <v/>
      </c>
      <c r="K15" s="219">
        <f>VLOOKUP(K14,オッズデータ入力!$O$8:$P$25,2,FALSE)</f>
        <v/>
      </c>
      <c r="L15" s="219">
        <f>VLOOKUP(L14,オッズデータ入力!$O$8:$P$25,2,FALSE)</f>
        <v/>
      </c>
    </row>
    <row r="16">
      <c r="B16" s="258" t="inlineStr">
        <is>
          <t>※　2頭が抜けていると判断した時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 ht="37.5" customHeight="1"/>
    <row r="18">
      <c r="A18" s="354" t="inlineStr">
        <is>
          <t>④　2-4-6（24点）</t>
        </is>
      </c>
      <c r="B18" s="1" t="inlineStr">
        <is>
          <t>◎</t>
        </is>
      </c>
      <c r="C18" s="1" t="inlineStr">
        <is>
          <t>〇</t>
        </is>
      </c>
      <c r="E18" s="1" t="inlineStr">
        <is>
          <t>◎</t>
        </is>
      </c>
      <c r="F18" s="1" t="inlineStr">
        <is>
          <t>〇</t>
        </is>
      </c>
      <c r="G18" s="1" t="inlineStr">
        <is>
          <t>▲</t>
        </is>
      </c>
      <c r="H18" s="1" t="inlineStr">
        <is>
          <t>△</t>
        </is>
      </c>
      <c r="J18" s="1" t="inlineStr">
        <is>
          <t>◎</t>
        </is>
      </c>
      <c r="K18" s="1" t="inlineStr">
        <is>
          <t>〇</t>
        </is>
      </c>
      <c r="L18" s="1" t="inlineStr">
        <is>
          <t>▲</t>
        </is>
      </c>
      <c r="M18" s="1" t="inlineStr">
        <is>
          <t>△</t>
        </is>
      </c>
      <c r="N18" s="1" t="inlineStr">
        <is>
          <t>★</t>
        </is>
      </c>
      <c r="O18" s="1" t="inlineStr">
        <is>
          <t>☆</t>
        </is>
      </c>
    </row>
    <row r="19">
      <c r="B19" s="520" t="n">
        <v>1</v>
      </c>
      <c r="C19" s="520" t="n">
        <v>2</v>
      </c>
      <c r="D19" s="523" t="inlineStr">
        <is>
          <t>〉〉〉</t>
        </is>
      </c>
      <c r="E19" s="520" t="n">
        <v>1</v>
      </c>
      <c r="F19" s="520" t="n">
        <v>2</v>
      </c>
      <c r="G19" s="520" t="n">
        <v>3</v>
      </c>
      <c r="H19" s="520" t="n">
        <v>4</v>
      </c>
      <c r="I19" s="523" t="inlineStr">
        <is>
          <t>〉〉〉</t>
        </is>
      </c>
      <c r="J19" s="520" t="n">
        <v>1</v>
      </c>
      <c r="K19" s="520" t="n">
        <v>2</v>
      </c>
      <c r="L19" s="520" t="n">
        <v>3</v>
      </c>
      <c r="M19" s="520" t="n">
        <v>4</v>
      </c>
      <c r="N19" s="520" t="n">
        <v>5</v>
      </c>
      <c r="O19" s="520" t="n">
        <v>6</v>
      </c>
    </row>
    <row r="20">
      <c r="B20" s="219">
        <f>VLOOKUP(B19,オッズデータ入力!$O$8:$P$25,2,FALSE)</f>
        <v/>
      </c>
      <c r="C20" s="219">
        <f>VLOOKUP(C19,オッズデータ入力!$O$8:$P$25,2,FALSE)</f>
        <v/>
      </c>
      <c r="D20" s="353" t="n"/>
      <c r="E20" s="219">
        <f>VLOOKUP(E19,オッズデータ入力!$O$8:$P$25,2,FALSE)</f>
        <v/>
      </c>
      <c r="F20" s="219">
        <f>VLOOKUP(F19,オッズデータ入力!$O$8:$P$25,2,FALSE)</f>
        <v/>
      </c>
      <c r="G20" s="219">
        <f>VLOOKUP(G19,オッズデータ入力!$O$8:$P$25,2,FALSE)</f>
        <v/>
      </c>
      <c r="H20" s="219">
        <f>VLOOKUP(H19,オッズデータ入力!$O$8:$P$25,2,FALSE)</f>
        <v/>
      </c>
      <c r="I20" s="353" t="n"/>
      <c r="J20" s="219">
        <f>VLOOKUP(J19,オッズデータ入力!$O$8:$P$25,2,FALSE)</f>
        <v/>
      </c>
      <c r="K20" s="219">
        <f>VLOOKUP(K19,オッズデータ入力!$O$8:$P$25,2,FALSE)</f>
        <v/>
      </c>
      <c r="L20" s="219">
        <f>VLOOKUP(L19,オッズデータ入力!$O$8:$P$25,2,FALSE)</f>
        <v/>
      </c>
      <c r="M20" s="219">
        <f>VLOOKUP(M19,オッズデータ入力!$O$8:$P$25,2,FALSE)</f>
        <v/>
      </c>
      <c r="N20" s="219">
        <f>VLOOKUP(N19,オッズデータ入力!$O$8:$P$25,2,FALSE)</f>
        <v/>
      </c>
      <c r="O20" s="219">
        <f>VLOOKUP(O19,オッズデータ入力!$O$8:$P$25,2,FALSE)</f>
        <v/>
      </c>
    </row>
    <row r="21">
      <c r="B21" t="inlineStr">
        <is>
          <t>※　2着候補を4頭まで選べる</t>
        </is>
      </c>
      <c r="D21" s="115" t="n"/>
      <c r="I21" s="115" t="n"/>
    </row>
    <row r="22" ht="36.75" customHeight="1" thickBot="1">
      <c r="D22" s="115" t="n"/>
      <c r="I22" s="115" t="n"/>
    </row>
    <row r="23" ht="23.25" customHeight="1" thickBot="1">
      <c r="A23" s="356" t="inlineStr">
        <is>
          <t>ジャイさんの買い方</t>
        </is>
      </c>
      <c r="D23" s="115" t="n"/>
      <c r="I23" s="115" t="n"/>
    </row>
    <row r="24">
      <c r="B24" s="1" t="inlineStr">
        <is>
          <t>◎</t>
        </is>
      </c>
      <c r="D24" s="1" t="inlineStr">
        <is>
          <t>〇</t>
        </is>
      </c>
      <c r="E24" s="1" t="inlineStr">
        <is>
          <t>▲</t>
        </is>
      </c>
      <c r="G24" s="1" t="inlineStr">
        <is>
          <t>△</t>
        </is>
      </c>
      <c r="H24" s="1" t="inlineStr">
        <is>
          <t>△</t>
        </is>
      </c>
      <c r="I24" s="1" t="inlineStr">
        <is>
          <t>△</t>
        </is>
      </c>
      <c r="J24" s="1" t="inlineStr">
        <is>
          <t>△</t>
        </is>
      </c>
      <c r="K24" s="1" t="inlineStr">
        <is>
          <t>△</t>
        </is>
      </c>
      <c r="L24" s="1" t="inlineStr">
        <is>
          <t>△</t>
        </is>
      </c>
      <c r="M24" s="1" t="inlineStr">
        <is>
          <t>△</t>
        </is>
      </c>
      <c r="N24" s="1" t="inlineStr">
        <is>
          <t>△</t>
        </is>
      </c>
      <c r="O24" s="1" t="inlineStr">
        <is>
          <t>△</t>
        </is>
      </c>
      <c r="P24" s="1" t="inlineStr">
        <is>
          <t>△</t>
        </is>
      </c>
      <c r="Q24" s="1" t="inlineStr">
        <is>
          <t>△</t>
        </is>
      </c>
    </row>
    <row r="25">
      <c r="A25" s="354" t="inlineStr">
        <is>
          <t>①　1-2-11（22点）</t>
        </is>
      </c>
      <c r="B25" s="520" t="n">
        <v>1</v>
      </c>
      <c r="C25" s="523" t="inlineStr">
        <is>
          <t>〉〉〉</t>
        </is>
      </c>
      <c r="D25" s="520" t="n">
        <v>2</v>
      </c>
      <c r="E25" s="520" t="n">
        <v>3</v>
      </c>
      <c r="F25" s="523" t="inlineStr">
        <is>
          <t>〉〉〉</t>
        </is>
      </c>
      <c r="G25" s="520" t="n">
        <v>4</v>
      </c>
      <c r="H25" s="520" t="n">
        <v>5</v>
      </c>
      <c r="I25" s="520" t="n">
        <v>6</v>
      </c>
      <c r="J25" s="520" t="n">
        <v>7</v>
      </c>
      <c r="K25" s="520" t="n">
        <v>8</v>
      </c>
      <c r="L25" s="520" t="n">
        <v>9</v>
      </c>
      <c r="M25" s="520" t="n">
        <v>10</v>
      </c>
      <c r="N25" s="520" t="n">
        <v>11</v>
      </c>
      <c r="O25" s="520" t="n">
        <v>12</v>
      </c>
      <c r="P25" s="520" t="n">
        <v>13</v>
      </c>
      <c r="Q25" s="520" t="n">
        <v>14</v>
      </c>
    </row>
    <row r="26">
      <c r="B26" s="219">
        <f>VLOOKUP(B25,オッズデータ入力!$O$8:$P$25,2,FALSE)</f>
        <v/>
      </c>
      <c r="D26" s="219">
        <f>VLOOKUP(D25,オッズデータ入力!$O$8:$P$25,2,FALSE)</f>
        <v/>
      </c>
      <c r="E26" s="219">
        <f>VLOOKUP(E25,オッズデータ入力!$O$8:$P$25,2,FALSE)</f>
        <v/>
      </c>
      <c r="G26" s="219">
        <f>VLOOKUP(G25,オッズデータ入力!$O$8:$P$25,2,FALSE)</f>
        <v/>
      </c>
      <c r="H26" s="219">
        <f>VLOOKUP(H25,オッズデータ入力!$O$8:$P$25,2,FALSE)</f>
        <v/>
      </c>
      <c r="I26" s="219">
        <f>VLOOKUP(I25,オッズデータ入力!$O$8:$P$25,2,FALSE)</f>
        <v/>
      </c>
      <c r="J26" s="219">
        <f>VLOOKUP(J25,オッズデータ入力!$O$8:$P$25,2,FALSE)</f>
        <v/>
      </c>
      <c r="K26" s="219">
        <f>VLOOKUP(K25,オッズデータ入力!$O$8:$P$25,2,FALSE)</f>
        <v/>
      </c>
      <c r="L26" s="219">
        <f>VLOOKUP(L25,オッズデータ入力!$O$8:$P$25,2,FALSE)</f>
        <v/>
      </c>
      <c r="M26" s="219">
        <f>VLOOKUP(M25,オッズデータ入力!$O$8:$P$25,2,FALSE)</f>
        <v/>
      </c>
      <c r="N26" s="219">
        <f>VLOOKUP(N25,オッズデータ入力!$O$8:$P$25,2,FALSE)</f>
        <v/>
      </c>
      <c r="O26" s="219">
        <f>VLOOKUP(O25,オッズデータ入力!$O$8:$P$25,2,FALSE)</f>
        <v/>
      </c>
      <c r="P26" s="219">
        <f>VLOOKUP(P25,オッズデータ入力!$O$8:$P$25,2,FALSE)</f>
        <v/>
      </c>
      <c r="Q26" s="219">
        <f>VLOOKUP(Q25,オッズデータ入力!$O$8:$P$25,2,FALSE)</f>
        <v/>
      </c>
    </row>
    <row r="27">
      <c r="D27" s="115" t="n"/>
      <c r="I27" s="115" t="n"/>
    </row>
    <row r="28">
      <c r="B28" s="1" t="inlineStr">
        <is>
          <t>◎</t>
        </is>
      </c>
      <c r="D28" s="1" t="inlineStr">
        <is>
          <t>△</t>
        </is>
      </c>
      <c r="E28" s="1" t="inlineStr">
        <is>
          <t>△</t>
        </is>
      </c>
      <c r="F28" s="1" t="inlineStr">
        <is>
          <t>△</t>
        </is>
      </c>
      <c r="G28" s="1" t="inlineStr">
        <is>
          <t>△</t>
        </is>
      </c>
      <c r="H28" s="1" t="inlineStr">
        <is>
          <t>△</t>
        </is>
      </c>
      <c r="I28" s="1" t="inlineStr">
        <is>
          <t>△</t>
        </is>
      </c>
      <c r="J28" s="1" t="inlineStr">
        <is>
          <t>△</t>
        </is>
      </c>
      <c r="K28" s="1" t="inlineStr">
        <is>
          <t>△</t>
        </is>
      </c>
      <c r="L28" s="1" t="inlineStr">
        <is>
          <t>△</t>
        </is>
      </c>
      <c r="M28" s="1" t="inlineStr">
        <is>
          <t>△</t>
        </is>
      </c>
      <c r="N28" s="1" t="inlineStr">
        <is>
          <t>△</t>
        </is>
      </c>
      <c r="P28" s="1" t="inlineStr">
        <is>
          <t>〇</t>
        </is>
      </c>
      <c r="Q28" s="1" t="inlineStr">
        <is>
          <t>▲</t>
        </is>
      </c>
    </row>
    <row r="29">
      <c r="A29" s="354" t="inlineStr">
        <is>
          <t>②　1-11-2（22点）</t>
        </is>
      </c>
      <c r="B29" s="520" t="n">
        <v>1</v>
      </c>
      <c r="C29" s="523" t="inlineStr">
        <is>
          <t>〉〉〉</t>
        </is>
      </c>
      <c r="D29" s="520" t="n">
        <v>4</v>
      </c>
      <c r="E29" s="520" t="n">
        <v>5</v>
      </c>
      <c r="F29" s="520" t="n">
        <v>6</v>
      </c>
      <c r="G29" s="520" t="n">
        <v>7</v>
      </c>
      <c r="H29" s="520" t="n">
        <v>8</v>
      </c>
      <c r="I29" s="520" t="n">
        <v>9</v>
      </c>
      <c r="J29" s="520" t="n">
        <v>10</v>
      </c>
      <c r="K29" s="520" t="n">
        <v>11</v>
      </c>
      <c r="L29" s="520" t="n">
        <v>12</v>
      </c>
      <c r="M29" s="520" t="n">
        <v>13</v>
      </c>
      <c r="N29" s="520" t="n">
        <v>14</v>
      </c>
      <c r="O29" s="523" t="inlineStr">
        <is>
          <t>〉〉〉</t>
        </is>
      </c>
      <c r="P29" s="520" t="n">
        <v>2</v>
      </c>
      <c r="Q29" s="520" t="n">
        <v>3</v>
      </c>
    </row>
    <row r="30">
      <c r="B30" s="219">
        <f>VLOOKUP(B29,オッズデータ入力!$O$8:$P$25,2,FALSE)</f>
        <v/>
      </c>
      <c r="D30" s="219">
        <f>VLOOKUP(D29,オッズデータ入力!$O$8:$P$25,2,FALSE)</f>
        <v/>
      </c>
      <c r="E30" s="219">
        <f>VLOOKUP(E29,オッズデータ入力!$O$8:$P$25,2,FALSE)</f>
        <v/>
      </c>
      <c r="F30" s="219">
        <f>VLOOKUP(F29,オッズデータ入力!$O$8:$P$25,2,FALSE)</f>
        <v/>
      </c>
      <c r="G30" s="219">
        <f>VLOOKUP(G29,オッズデータ入力!$O$8:$P$25,2,FALSE)</f>
        <v/>
      </c>
      <c r="H30" s="219">
        <f>VLOOKUP(H29,オッズデータ入力!$O$8:$P$25,2,FALSE)</f>
        <v/>
      </c>
      <c r="I30" s="219">
        <f>VLOOKUP(I29,オッズデータ入力!$O$8:$P$25,2,FALSE)</f>
        <v/>
      </c>
      <c r="J30" s="219">
        <f>VLOOKUP(J29,オッズデータ入力!$O$8:$P$25,2,FALSE)</f>
        <v/>
      </c>
      <c r="K30" s="219">
        <f>VLOOKUP(K29,オッズデータ入力!$O$8:$P$25,2,FALSE)</f>
        <v/>
      </c>
      <c r="L30" s="219">
        <f>VLOOKUP(L29,オッズデータ入力!$O$8:$P$25,2,FALSE)</f>
        <v/>
      </c>
      <c r="M30" s="219">
        <f>VLOOKUP(M29,オッズデータ入力!$O$8:$P$25,2,FALSE)</f>
        <v/>
      </c>
      <c r="N30" s="219">
        <f>VLOOKUP(N29,オッズデータ入力!$O$8:$P$25,2,FALSE)</f>
        <v/>
      </c>
      <c r="P30" s="219">
        <f>VLOOKUP(P29,オッズデータ入力!$O$8:$P$25,2,FALSE)</f>
        <v/>
      </c>
      <c r="Q30" s="219">
        <f>VLOOKUP(Q29,オッズデータ入力!$O$8:$P$25,2,FALSE)</f>
        <v/>
      </c>
    </row>
    <row r="31">
      <c r="D31" s="115" t="n"/>
      <c r="I31" s="115" t="n"/>
    </row>
    <row r="32">
      <c r="B32" s="1" t="inlineStr">
        <is>
          <t>〇</t>
        </is>
      </c>
      <c r="C32" s="1" t="inlineStr">
        <is>
          <t>▲</t>
        </is>
      </c>
      <c r="E32" s="1" t="inlineStr">
        <is>
          <t>◎</t>
        </is>
      </c>
      <c r="G32" s="1" t="inlineStr">
        <is>
          <t>△</t>
        </is>
      </c>
      <c r="H32" s="1" t="inlineStr">
        <is>
          <t>△</t>
        </is>
      </c>
      <c r="I32" s="1" t="inlineStr">
        <is>
          <t>△</t>
        </is>
      </c>
      <c r="J32" s="1" t="inlineStr">
        <is>
          <t>△</t>
        </is>
      </c>
      <c r="K32" s="1" t="inlineStr">
        <is>
          <t>△</t>
        </is>
      </c>
      <c r="L32" s="1" t="inlineStr">
        <is>
          <t>△</t>
        </is>
      </c>
      <c r="M32" s="1" t="inlineStr">
        <is>
          <t>△</t>
        </is>
      </c>
      <c r="N32" s="1" t="inlineStr">
        <is>
          <t>△</t>
        </is>
      </c>
      <c r="O32" s="1" t="inlineStr">
        <is>
          <t>△</t>
        </is>
      </c>
      <c r="P32" s="1" t="inlineStr">
        <is>
          <t>△</t>
        </is>
      </c>
      <c r="Q32" s="1" t="inlineStr">
        <is>
          <t>△</t>
        </is>
      </c>
    </row>
    <row r="33">
      <c r="A33" s="354" t="inlineStr">
        <is>
          <t>③　2-1-11（22点）</t>
        </is>
      </c>
      <c r="B33" s="520" t="n">
        <v>2</v>
      </c>
      <c r="C33" s="520" t="n">
        <v>3</v>
      </c>
      <c r="D33" s="523" t="inlineStr">
        <is>
          <t>〉〉〉</t>
        </is>
      </c>
      <c r="E33" s="520" t="n">
        <v>1</v>
      </c>
      <c r="F33" s="523" t="inlineStr">
        <is>
          <t>〉〉〉</t>
        </is>
      </c>
      <c r="G33" s="520" t="n">
        <v>4</v>
      </c>
      <c r="H33" s="520" t="n">
        <v>5</v>
      </c>
      <c r="I33" s="520" t="n">
        <v>6</v>
      </c>
      <c r="J33" s="520" t="n">
        <v>7</v>
      </c>
      <c r="K33" s="520" t="n">
        <v>8</v>
      </c>
      <c r="L33" s="520" t="n">
        <v>9</v>
      </c>
      <c r="M33" s="520" t="n">
        <v>10</v>
      </c>
      <c r="N33" s="520" t="n">
        <v>11</v>
      </c>
      <c r="O33" s="520" t="n">
        <v>12</v>
      </c>
      <c r="P33" s="520" t="n">
        <v>13</v>
      </c>
      <c r="Q33" s="520" t="n">
        <v>14</v>
      </c>
    </row>
    <row r="34">
      <c r="B34" s="219">
        <f>VLOOKUP(B33,オッズデータ入力!$O$8:$P$25,2,FALSE)</f>
        <v/>
      </c>
      <c r="C34" s="219">
        <f>VLOOKUP(C33,オッズデータ入力!$O$8:$P$25,2,FALSE)</f>
        <v/>
      </c>
      <c r="E34" s="219">
        <f>VLOOKUP(E33,オッズデータ入力!$O$8:$P$25,2,FALSE)</f>
        <v/>
      </c>
      <c r="G34" s="219">
        <f>VLOOKUP(G33,オッズデータ入力!$O$8:$P$25,2,FALSE)</f>
        <v/>
      </c>
      <c r="H34" s="219">
        <f>VLOOKUP(H33,オッズデータ入力!$O$8:$P$25,2,FALSE)</f>
        <v/>
      </c>
      <c r="I34" s="219">
        <f>VLOOKUP(I33,オッズデータ入力!$O$8:$P$25,2,FALSE)</f>
        <v/>
      </c>
      <c r="J34" s="219">
        <f>VLOOKUP(J33,オッズデータ入力!$O$8:$P$25,2,FALSE)</f>
        <v/>
      </c>
      <c r="K34" s="219">
        <f>VLOOKUP(K33,オッズデータ入力!$O$8:$P$25,2,FALSE)</f>
        <v/>
      </c>
      <c r="L34" s="219">
        <f>VLOOKUP(L33,オッズデータ入力!$O$8:$P$25,2,FALSE)</f>
        <v/>
      </c>
      <c r="M34" s="219">
        <f>VLOOKUP(M33,オッズデータ入力!$O$8:$P$25,2,FALSE)</f>
        <v/>
      </c>
      <c r="N34" s="219">
        <f>VLOOKUP(N33,オッズデータ入力!$O$8:$P$25,2,FALSE)</f>
        <v/>
      </c>
      <c r="O34" s="219">
        <f>VLOOKUP(O33,オッズデータ入力!$O$8:$P$25,2,FALSE)</f>
        <v/>
      </c>
      <c r="P34" s="219">
        <f>VLOOKUP(P33,オッズデータ入力!$O$8:$P$25,2,FALSE)</f>
        <v/>
      </c>
      <c r="Q34" s="219">
        <f>VLOOKUP(Q33,オッズデータ入力!$O$8:$P$25,2,FALSE)</f>
        <v/>
      </c>
    </row>
    <row r="35">
      <c r="B35" s="1" t="n"/>
      <c r="C35" s="1" t="n"/>
      <c r="E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B36" s="1" t="inlineStr">
        <is>
          <t>〇</t>
        </is>
      </c>
      <c r="C36" s="1" t="inlineStr">
        <is>
          <t>▲</t>
        </is>
      </c>
      <c r="E36" s="1" t="inlineStr">
        <is>
          <t>△</t>
        </is>
      </c>
      <c r="F36" s="1" t="inlineStr">
        <is>
          <t>△</t>
        </is>
      </c>
      <c r="G36" s="1" t="inlineStr">
        <is>
          <t>△</t>
        </is>
      </c>
      <c r="H36" s="1" t="inlineStr">
        <is>
          <t>△</t>
        </is>
      </c>
      <c r="I36" s="1" t="inlineStr">
        <is>
          <t>△</t>
        </is>
      </c>
      <c r="J36" s="1" t="inlineStr">
        <is>
          <t>△</t>
        </is>
      </c>
      <c r="K36" s="1" t="inlineStr">
        <is>
          <t>△</t>
        </is>
      </c>
      <c r="L36" s="1" t="inlineStr">
        <is>
          <t>△</t>
        </is>
      </c>
      <c r="M36" s="1" t="inlineStr">
        <is>
          <t>△</t>
        </is>
      </c>
      <c r="N36" s="1" t="inlineStr">
        <is>
          <t>△</t>
        </is>
      </c>
      <c r="O36" s="1" t="inlineStr">
        <is>
          <t>△</t>
        </is>
      </c>
      <c r="Q36" s="1" t="inlineStr">
        <is>
          <t>◎</t>
        </is>
      </c>
    </row>
    <row r="37">
      <c r="A37" s="354" t="inlineStr">
        <is>
          <t>④　2-11-1（22点）</t>
        </is>
      </c>
      <c r="B37" s="520" t="n">
        <v>2</v>
      </c>
      <c r="C37" s="520" t="n">
        <v>3</v>
      </c>
      <c r="D37" s="523" t="inlineStr">
        <is>
          <t>〉〉〉</t>
        </is>
      </c>
      <c r="E37" s="520" t="n">
        <v>4</v>
      </c>
      <c r="F37" s="520" t="n">
        <v>5</v>
      </c>
      <c r="G37" s="520" t="n">
        <v>6</v>
      </c>
      <c r="H37" s="520" t="n">
        <v>7</v>
      </c>
      <c r="I37" s="520" t="n">
        <v>8</v>
      </c>
      <c r="J37" s="520" t="n">
        <v>9</v>
      </c>
      <c r="K37" s="520" t="n">
        <v>10</v>
      </c>
      <c r="L37" s="520" t="n">
        <v>11</v>
      </c>
      <c r="M37" s="520" t="n">
        <v>12</v>
      </c>
      <c r="N37" s="520" t="n">
        <v>13</v>
      </c>
      <c r="O37" s="520" t="n">
        <v>14</v>
      </c>
      <c r="P37" s="523" t="inlineStr">
        <is>
          <t>〉〉〉</t>
        </is>
      </c>
      <c r="Q37" s="520" t="n">
        <v>1</v>
      </c>
    </row>
    <row r="38">
      <c r="B38" s="219">
        <f>VLOOKUP(B37,オッズデータ入力!$O$8:$P$25,2,FALSE)</f>
        <v/>
      </c>
      <c r="C38" s="219">
        <f>VLOOKUP(C37,オッズデータ入力!$O$8:$P$25,2,FALSE)</f>
        <v/>
      </c>
      <c r="E38" s="219">
        <f>VLOOKUP(E37,オッズデータ入力!$O$8:$P$25,2,FALSE)</f>
        <v/>
      </c>
      <c r="F38" s="219">
        <f>VLOOKUP(F37,オッズデータ入力!$O$8:$P$25,2,FALSE)</f>
        <v/>
      </c>
      <c r="G38" s="219">
        <f>VLOOKUP(G37,オッズデータ入力!$O$8:$P$25,2,FALSE)</f>
        <v/>
      </c>
      <c r="H38" s="219">
        <f>VLOOKUP(H37,オッズデータ入力!$O$8:$P$25,2,FALSE)</f>
        <v/>
      </c>
      <c r="I38" s="219">
        <f>VLOOKUP(I37,オッズデータ入力!$O$8:$P$25,2,FALSE)</f>
        <v/>
      </c>
      <c r="J38" s="219">
        <f>VLOOKUP(J37,オッズデータ入力!$O$8:$P$25,2,FALSE)</f>
        <v/>
      </c>
      <c r="K38" s="219">
        <f>VLOOKUP(K37,オッズデータ入力!$O$8:$P$25,2,FALSE)</f>
        <v/>
      </c>
      <c r="L38" s="219">
        <f>VLOOKUP(L37,オッズデータ入力!$O$8:$P$25,2,FALSE)</f>
        <v/>
      </c>
      <c r="M38" s="219">
        <f>VLOOKUP(M37,オッズデータ入力!$O$8:$P$25,2,FALSE)</f>
        <v/>
      </c>
      <c r="N38" s="219">
        <f>VLOOKUP(N37,オッズデータ入力!$O$8:$P$25,2,FALSE)</f>
        <v/>
      </c>
      <c r="O38" s="219">
        <f>VLOOKUP(O37,オッズデータ入力!$O$8:$P$25,2,FALSE)</f>
        <v/>
      </c>
      <c r="Q38" s="219">
        <f>VLOOKUP(Q37,オッズデータ入力!$O$8:$P$25,2,FALSE)</f>
        <v/>
      </c>
    </row>
    <row r="39">
      <c r="B39" s="1" t="n"/>
      <c r="C39" s="1" t="n"/>
      <c r="E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B40" s="1" t="inlineStr">
        <is>
          <t>△</t>
        </is>
      </c>
      <c r="C40" s="1" t="inlineStr">
        <is>
          <t>△</t>
        </is>
      </c>
      <c r="D40" s="1" t="inlineStr">
        <is>
          <t>△</t>
        </is>
      </c>
      <c r="E40" s="1" t="inlineStr">
        <is>
          <t>△</t>
        </is>
      </c>
      <c r="F40" s="1" t="inlineStr">
        <is>
          <t>△</t>
        </is>
      </c>
      <c r="G40" s="1" t="inlineStr">
        <is>
          <t>△</t>
        </is>
      </c>
      <c r="H40" s="1" t="inlineStr">
        <is>
          <t>△</t>
        </is>
      </c>
      <c r="I40" s="1" t="inlineStr">
        <is>
          <t>△</t>
        </is>
      </c>
      <c r="J40" s="1" t="inlineStr">
        <is>
          <t>△</t>
        </is>
      </c>
      <c r="K40" s="1" t="inlineStr">
        <is>
          <t>△</t>
        </is>
      </c>
      <c r="L40" s="1" t="inlineStr">
        <is>
          <t>△</t>
        </is>
      </c>
      <c r="N40" s="1" t="inlineStr">
        <is>
          <t>〇</t>
        </is>
      </c>
      <c r="O40" s="1" t="inlineStr">
        <is>
          <t>▲</t>
        </is>
      </c>
      <c r="Q40" s="1" t="inlineStr">
        <is>
          <t>◎</t>
        </is>
      </c>
    </row>
    <row r="41">
      <c r="A41" s="354" t="inlineStr">
        <is>
          <t>⑤　11-2-1（22点）</t>
        </is>
      </c>
      <c r="B41" s="520" t="n">
        <v>4</v>
      </c>
      <c r="C41" s="520" t="n">
        <v>5</v>
      </c>
      <c r="D41" s="520" t="n">
        <v>6</v>
      </c>
      <c r="E41" s="520" t="n">
        <v>7</v>
      </c>
      <c r="F41" s="520" t="n">
        <v>8</v>
      </c>
      <c r="G41" s="520" t="n">
        <v>9</v>
      </c>
      <c r="H41" s="520" t="n">
        <v>10</v>
      </c>
      <c r="I41" s="520" t="n">
        <v>11</v>
      </c>
      <c r="J41" s="520" t="n">
        <v>12</v>
      </c>
      <c r="K41" s="520" t="n">
        <v>13</v>
      </c>
      <c r="L41" s="520" t="n">
        <v>14</v>
      </c>
      <c r="M41" s="523" t="inlineStr">
        <is>
          <t>〉〉〉</t>
        </is>
      </c>
      <c r="N41" s="520" t="n">
        <v>2</v>
      </c>
      <c r="O41" s="520" t="n">
        <v>3</v>
      </c>
      <c r="P41" s="523" t="inlineStr">
        <is>
          <t>〉〉〉</t>
        </is>
      </c>
      <c r="Q41" s="520" t="n">
        <v>1</v>
      </c>
    </row>
    <row r="42">
      <c r="B42" s="219">
        <f>VLOOKUP(B41,オッズデータ入力!$O$8:$P$25,2,FALSE)</f>
        <v/>
      </c>
      <c r="C42" s="219">
        <f>VLOOKUP(C41,オッズデータ入力!$O$8:$P$25,2,FALSE)</f>
        <v/>
      </c>
      <c r="D42" s="219">
        <f>VLOOKUP(D41,オッズデータ入力!$O$8:$P$25,2,FALSE)</f>
        <v/>
      </c>
      <c r="E42" s="219">
        <f>VLOOKUP(E41,オッズデータ入力!$O$8:$P$25,2,FALSE)</f>
        <v/>
      </c>
      <c r="F42" s="219">
        <f>VLOOKUP(F41,オッズデータ入力!$O$8:$P$25,2,FALSE)</f>
        <v/>
      </c>
      <c r="G42" s="219">
        <f>VLOOKUP(G41,オッズデータ入力!$O$8:$P$25,2,FALSE)</f>
        <v/>
      </c>
      <c r="H42" s="219">
        <f>VLOOKUP(H41,オッズデータ入力!$O$8:$P$25,2,FALSE)</f>
        <v/>
      </c>
      <c r="I42" s="219">
        <f>VLOOKUP(I41,オッズデータ入力!$O$8:$P$25,2,FALSE)</f>
        <v/>
      </c>
      <c r="J42" s="219">
        <f>VLOOKUP(J41,オッズデータ入力!$O$8:$P$25,2,FALSE)</f>
        <v/>
      </c>
      <c r="K42" s="219">
        <f>VLOOKUP(K41,オッズデータ入力!$O$8:$P$25,2,FALSE)</f>
        <v/>
      </c>
      <c r="L42" s="219">
        <f>VLOOKUP(L41,オッズデータ入力!$O$8:$P$25,2,FALSE)</f>
        <v/>
      </c>
      <c r="N42" s="219">
        <f>VLOOKUP(N41,オッズデータ入力!$O$8:$P$25,2,FALSE)</f>
        <v/>
      </c>
      <c r="O42" s="219">
        <f>VLOOKUP(O41,オッズデータ入力!$O$8:$P$25,2,FALSE)</f>
        <v/>
      </c>
      <c r="Q42" s="219">
        <f>VLOOKUP(Q41,オッズデータ入力!$O$8:$P$25,2,FALSE)</f>
        <v/>
      </c>
    </row>
    <row r="43">
      <c r="B43" s="1" t="n"/>
      <c r="C43" s="1" t="n"/>
      <c r="E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B44" s="1" t="inlineStr">
        <is>
          <t>△</t>
        </is>
      </c>
      <c r="C44" s="1" t="inlineStr">
        <is>
          <t>△</t>
        </is>
      </c>
      <c r="D44" s="1" t="inlineStr">
        <is>
          <t>△</t>
        </is>
      </c>
      <c r="E44" s="1" t="inlineStr">
        <is>
          <t>△</t>
        </is>
      </c>
      <c r="F44" s="1" t="inlineStr">
        <is>
          <t>△</t>
        </is>
      </c>
      <c r="G44" s="1" t="inlineStr">
        <is>
          <t>△</t>
        </is>
      </c>
      <c r="H44" s="1" t="inlineStr">
        <is>
          <t>△</t>
        </is>
      </c>
      <c r="I44" s="1" t="inlineStr">
        <is>
          <t>△</t>
        </is>
      </c>
      <c r="J44" s="1" t="inlineStr">
        <is>
          <t>△</t>
        </is>
      </c>
      <c r="K44" s="1" t="inlineStr">
        <is>
          <t>△</t>
        </is>
      </c>
      <c r="L44" s="1" t="inlineStr">
        <is>
          <t>△</t>
        </is>
      </c>
      <c r="N44" s="1" t="inlineStr">
        <is>
          <t>◎</t>
        </is>
      </c>
      <c r="P44" s="1" t="inlineStr">
        <is>
          <t>〇</t>
        </is>
      </c>
      <c r="Q44" s="1" t="inlineStr">
        <is>
          <t>▲</t>
        </is>
      </c>
    </row>
    <row r="45">
      <c r="A45" s="354" t="inlineStr">
        <is>
          <t>⑥　11-1-2（22点）</t>
        </is>
      </c>
      <c r="B45" s="520" t="n">
        <v>4</v>
      </c>
      <c r="C45" s="520" t="n">
        <v>5</v>
      </c>
      <c r="D45" s="520" t="n">
        <v>6</v>
      </c>
      <c r="E45" s="520" t="n">
        <v>7</v>
      </c>
      <c r="F45" s="520" t="n">
        <v>8</v>
      </c>
      <c r="G45" s="520" t="n">
        <v>9</v>
      </c>
      <c r="H45" s="520" t="n">
        <v>10</v>
      </c>
      <c r="I45" s="520" t="n">
        <v>11</v>
      </c>
      <c r="J45" s="520" t="n">
        <v>12</v>
      </c>
      <c r="K45" s="520" t="n">
        <v>13</v>
      </c>
      <c r="L45" s="520" t="n">
        <v>14</v>
      </c>
      <c r="M45" s="523" t="inlineStr">
        <is>
          <t>〉〉〉</t>
        </is>
      </c>
      <c r="N45" s="520" t="n">
        <v>1</v>
      </c>
      <c r="O45" s="523" t="inlineStr">
        <is>
          <t>〉〉〉</t>
        </is>
      </c>
      <c r="P45" s="520" t="n">
        <v>2</v>
      </c>
      <c r="Q45" s="520" t="n">
        <v>3</v>
      </c>
    </row>
    <row r="46">
      <c r="B46" s="219">
        <f>VLOOKUP(B45,オッズデータ入力!$O$8:$P$25,2,FALSE)</f>
        <v/>
      </c>
      <c r="C46" s="219">
        <f>VLOOKUP(C45,オッズデータ入力!$O$8:$P$25,2,FALSE)</f>
        <v/>
      </c>
      <c r="D46" s="219">
        <f>VLOOKUP(D45,オッズデータ入力!$O$8:$P$25,2,FALSE)</f>
        <v/>
      </c>
      <c r="E46" s="219">
        <f>VLOOKUP(E45,オッズデータ入力!$O$8:$P$25,2,FALSE)</f>
        <v/>
      </c>
      <c r="F46" s="219">
        <f>VLOOKUP(F45,オッズデータ入力!$O$8:$P$25,2,FALSE)</f>
        <v/>
      </c>
      <c r="G46" s="219">
        <f>VLOOKUP(G45,オッズデータ入力!$O$8:$P$25,2,FALSE)</f>
        <v/>
      </c>
      <c r="H46" s="219">
        <f>VLOOKUP(H45,オッズデータ入力!$O$8:$P$25,2,FALSE)</f>
        <v/>
      </c>
      <c r="I46" s="219">
        <f>VLOOKUP(I45,オッズデータ入力!$O$8:$P$25,2,FALSE)</f>
        <v/>
      </c>
      <c r="J46" s="219">
        <f>VLOOKUP(J45,オッズデータ入力!$O$8:$P$25,2,FALSE)</f>
        <v/>
      </c>
      <c r="K46" s="219">
        <f>VLOOKUP(K45,オッズデータ入力!$O$8:$P$25,2,FALSE)</f>
        <v/>
      </c>
      <c r="L46" s="219">
        <f>VLOOKUP(L45,オッズデータ入力!$O$8:$P$25,2,FALSE)</f>
        <v/>
      </c>
      <c r="N46" s="219">
        <f>VLOOKUP(N45,オッズデータ入力!$O$8:$P$25,2,FALSE)</f>
        <v/>
      </c>
      <c r="P46" s="219">
        <f>VLOOKUP(P45,オッズデータ入力!$O$8:$P$25,2,FALSE)</f>
        <v/>
      </c>
      <c r="Q46" s="219">
        <f>VLOOKUP(Q45,オッズデータ入力!$O$8:$P$25,2,FALSE)</f>
        <v/>
      </c>
    </row>
    <row r="47">
      <c r="D47" s="115" t="n"/>
      <c r="I47" s="115" t="n"/>
    </row>
    <row r="48">
      <c r="D48" s="115" t="n"/>
      <c r="I48" s="115" t="n"/>
    </row>
    <row r="49">
      <c r="D49" s="115" t="n"/>
      <c r="I49" s="115" t="n"/>
    </row>
  </sheetData>
  <mergeCells count="1">
    <mergeCell ref="A1:D1"/>
  </mergeCells>
  <pageMargins left="0.7086614173228347" right="0.7086614173228347" top="0.7480314960629921" bottom="0.7480314960629921" header="0.3149606299212598" footer="0.3149606299212598"/>
  <pageSetup orientation="portrait" paperSize="9" scale="59" horizontalDpi="4294967293" verticalDpi="0"/>
</worksheet>
</file>

<file path=xl/worksheets/sheet8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Q48"/>
  <sheetViews>
    <sheetView workbookViewId="0">
      <selection activeCell="R7" sqref="R7"/>
    </sheetView>
  </sheetViews>
  <sheetFormatPr baseColWidth="8" defaultRowHeight="18.75"/>
  <cols>
    <col width="28.875" customWidth="1" style="354" min="1" max="1"/>
    <col width="6.625" customWidth="1" min="2" max="20"/>
  </cols>
  <sheetData>
    <row r="1" ht="27.75" customHeight="1" thickBot="1">
      <c r="A1" s="356" t="inlineStr">
        <is>
          <t xml:space="preserve">WIN３ 3連単フォーメーション </t>
        </is>
      </c>
      <c r="B1" s="442" t="n"/>
      <c r="C1" s="443" t="n"/>
    </row>
    <row r="2" customFormat="1" s="1">
      <c r="A2" s="354" t="n"/>
      <c r="B2" s="1" t="inlineStr">
        <is>
          <t>◎</t>
        </is>
      </c>
      <c r="D2" s="1" t="inlineStr">
        <is>
          <t>〇</t>
        </is>
      </c>
      <c r="E2" s="1" t="inlineStr">
        <is>
          <t>▲</t>
        </is>
      </c>
      <c r="G2" s="1" t="inlineStr">
        <is>
          <t>〇</t>
        </is>
      </c>
      <c r="H2" s="1" t="inlineStr">
        <is>
          <t>▲</t>
        </is>
      </c>
      <c r="I2" s="1" t="inlineStr">
        <is>
          <t>△</t>
        </is>
      </c>
      <c r="J2" s="1" t="inlineStr">
        <is>
          <t>★</t>
        </is>
      </c>
      <c r="K2" s="1" t="inlineStr">
        <is>
          <t>☆</t>
        </is>
      </c>
      <c r="L2" s="1" t="inlineStr">
        <is>
          <t>◆</t>
        </is>
      </c>
    </row>
    <row r="3" customFormat="1" s="521">
      <c r="A3" s="522" t="inlineStr">
        <is>
          <t>①　1-2-6（10点）</t>
        </is>
      </c>
      <c r="B3" s="520" t="n">
        <v>1</v>
      </c>
      <c r="C3" s="523" t="inlineStr">
        <is>
          <t>〉〉〉</t>
        </is>
      </c>
      <c r="D3" s="520" t="n">
        <v>2</v>
      </c>
      <c r="E3" s="520" t="n">
        <v>3</v>
      </c>
      <c r="F3" s="523" t="inlineStr">
        <is>
          <t>〉〉〉</t>
        </is>
      </c>
      <c r="G3" s="520" t="n">
        <v>2</v>
      </c>
      <c r="H3" s="520" t="n">
        <v>3</v>
      </c>
      <c r="I3" s="520" t="n">
        <v>4</v>
      </c>
      <c r="J3" s="520" t="n">
        <v>5</v>
      </c>
      <c r="K3" s="520" t="n">
        <v>6</v>
      </c>
      <c r="L3" s="520" t="n">
        <v>7</v>
      </c>
      <c r="M3" s="522" t="n"/>
    </row>
    <row r="4" customFormat="1" s="1">
      <c r="A4" s="115" t="n"/>
      <c r="B4" s="219">
        <f>VLOOKUP(B3,オッズデータ入力!$AA$8:$AB$25,2,FALSE)</f>
        <v/>
      </c>
      <c r="C4" s="353" t="n"/>
      <c r="D4" s="219">
        <f>VLOOKUP(D3,オッズデータ入力!$AA$8:$AB$25,2,FALSE)</f>
        <v/>
      </c>
      <c r="E4" s="219">
        <f>VLOOKUP(E3,オッズデータ入力!$AA$8:$AB$25,2,FALSE)</f>
        <v/>
      </c>
      <c r="G4" s="219">
        <f>VLOOKUP(G3,オッズデータ入力!$AA$8:$AB$25,2,FALSE)</f>
        <v/>
      </c>
      <c r="H4" s="219">
        <f>VLOOKUP(H3,オッズデータ入力!$AA$8:$AB$25,2,FALSE)</f>
        <v/>
      </c>
      <c r="I4" s="219">
        <f>VLOOKUP(I3,オッズデータ入力!$AA$8:$AB$25,2,FALSE)</f>
        <v/>
      </c>
      <c r="J4" s="219">
        <f>VLOOKUP(J3,オッズデータ入力!$AA$8:$AB$25,2,FALSE)</f>
        <v/>
      </c>
      <c r="K4" s="219">
        <f>VLOOKUP(K3,オッズデータ入力!$AA$8:$AB$25,2,FALSE)</f>
        <v/>
      </c>
      <c r="L4" s="219">
        <f>VLOOKUP(L3,オッズデータ入力!$AA$8:$AB$25,2,FALSE)</f>
        <v/>
      </c>
    </row>
    <row r="5">
      <c r="A5" s="115" t="n"/>
      <c r="B5" t="inlineStr">
        <is>
          <t>※　１着に自信あり、２着候補も絞れている場合（２着に中穴を入れておく）</t>
        </is>
      </c>
    </row>
    <row r="6" ht="37.5" customHeight="1">
      <c r="A6" s="115" t="n"/>
    </row>
    <row r="7">
      <c r="A7" s="115" t="n"/>
      <c r="B7" s="1" t="inlineStr">
        <is>
          <t>◎</t>
        </is>
      </c>
      <c r="C7" s="1" t="n"/>
      <c r="D7" s="1" t="inlineStr">
        <is>
          <t>〇</t>
        </is>
      </c>
      <c r="E7" s="1" t="inlineStr">
        <is>
          <t>▲</t>
        </is>
      </c>
      <c r="F7" s="1" t="inlineStr">
        <is>
          <t>△</t>
        </is>
      </c>
      <c r="H7" s="1" t="inlineStr">
        <is>
          <t>〇</t>
        </is>
      </c>
      <c r="I7" s="1" t="inlineStr">
        <is>
          <t>▲</t>
        </is>
      </c>
      <c r="J7" s="1" t="inlineStr">
        <is>
          <t>△</t>
        </is>
      </c>
      <c r="K7" s="1" t="inlineStr">
        <is>
          <t>★</t>
        </is>
      </c>
      <c r="L7" s="1" t="inlineStr">
        <is>
          <t>☆</t>
        </is>
      </c>
      <c r="M7" s="1" t="inlineStr">
        <is>
          <t>◆</t>
        </is>
      </c>
      <c r="N7" s="1" t="inlineStr">
        <is>
          <t>◇</t>
        </is>
      </c>
    </row>
    <row r="8">
      <c r="A8" s="115" t="inlineStr">
        <is>
          <t>②　1-3-7（18点）</t>
        </is>
      </c>
      <c r="B8" s="520" t="n">
        <v>1</v>
      </c>
      <c r="C8" s="523" t="inlineStr">
        <is>
          <t>〉〉〉</t>
        </is>
      </c>
      <c r="D8" s="520" t="n">
        <v>2</v>
      </c>
      <c r="E8" s="520" t="n">
        <v>3</v>
      </c>
      <c r="F8" s="520" t="n">
        <v>4</v>
      </c>
      <c r="G8" s="523" t="inlineStr">
        <is>
          <t>〉〉〉</t>
        </is>
      </c>
      <c r="H8" s="520" t="n">
        <v>2</v>
      </c>
      <c r="I8" s="520" t="n">
        <v>3</v>
      </c>
      <c r="J8" s="520" t="n">
        <v>4</v>
      </c>
      <c r="K8" s="520" t="n">
        <v>5</v>
      </c>
      <c r="L8" s="520" t="n">
        <v>6</v>
      </c>
      <c r="M8" s="520" t="n">
        <v>7</v>
      </c>
      <c r="N8" s="520" t="n">
        <v>8</v>
      </c>
    </row>
    <row r="9">
      <c r="B9" s="219">
        <f>VLOOKUP(B8,オッズデータ入力!$AA$8:$AB$25,2,FALSE)</f>
        <v/>
      </c>
      <c r="C9" s="353" t="n"/>
      <c r="D9" s="219">
        <f>VLOOKUP(D8,オッズデータ入力!$AA$8:$AB$25,2,FALSE)</f>
        <v/>
      </c>
      <c r="E9" s="219">
        <f>VLOOKUP(E8,オッズデータ入力!$AA$8:$AB$25,2,FALSE)</f>
        <v/>
      </c>
      <c r="F9" s="219">
        <f>VLOOKUP(F8,オッズデータ入力!$AA$8:$AB$25,2,FALSE)</f>
        <v/>
      </c>
      <c r="H9" s="219">
        <f>VLOOKUP(H8,オッズデータ入力!$AA$8:$AB$25,2,FALSE)</f>
        <v/>
      </c>
      <c r="I9" s="219">
        <f>VLOOKUP(I8,オッズデータ入力!$AA$8:$AB$25,2,FALSE)</f>
        <v/>
      </c>
      <c r="J9" s="219">
        <f>VLOOKUP(J8,オッズデータ入力!$AA$8:$AB$25,2,FALSE)</f>
        <v/>
      </c>
      <c r="K9" s="219">
        <f>VLOOKUP(K8,オッズデータ入力!$AA$8:$AB$25,2,FALSE)</f>
        <v/>
      </c>
      <c r="L9" s="219">
        <f>VLOOKUP(L8,オッズデータ入力!$AA$8:$AB$25,2,FALSE)</f>
        <v/>
      </c>
      <c r="M9" s="219">
        <f>VLOOKUP(M8,オッズデータ入力!$AA$8:$AB$25,2,FALSE)</f>
        <v/>
      </c>
      <c r="N9" s="219">
        <f>VLOOKUP(N8,オッズデータ入力!$AA$8:$AB$25,2,FALSE)</f>
        <v/>
      </c>
    </row>
    <row r="10">
      <c r="B10" t="inlineStr">
        <is>
          <t>※　2着候補を3頭まで増やせる買い方（3着候補を7頭まで選べる）</t>
        </is>
      </c>
    </row>
    <row r="11" ht="37.5" customHeight="1"/>
    <row r="12">
      <c r="A12" s="354" t="inlineStr">
        <is>
          <t>③　2-2-5（10点）</t>
        </is>
      </c>
      <c r="B12" s="1" t="inlineStr">
        <is>
          <t>◎</t>
        </is>
      </c>
      <c r="C12" s="1" t="inlineStr">
        <is>
          <t>〇</t>
        </is>
      </c>
      <c r="E12" s="1" t="inlineStr">
        <is>
          <t>◎</t>
        </is>
      </c>
      <c r="F12" s="1" t="inlineStr">
        <is>
          <t>〇</t>
        </is>
      </c>
      <c r="H12" s="1" t="inlineStr">
        <is>
          <t>▲</t>
        </is>
      </c>
      <c r="I12" s="1" t="inlineStr">
        <is>
          <t>△</t>
        </is>
      </c>
      <c r="J12" s="1" t="inlineStr">
        <is>
          <t>★</t>
        </is>
      </c>
      <c r="K12" s="1" t="inlineStr">
        <is>
          <t>☆</t>
        </is>
      </c>
      <c r="L12" s="1" t="inlineStr">
        <is>
          <t>◆</t>
        </is>
      </c>
    </row>
    <row r="13">
      <c r="B13" s="520" t="n">
        <v>1</v>
      </c>
      <c r="C13" s="520" t="n">
        <v>2</v>
      </c>
      <c r="D13" s="523" t="inlineStr">
        <is>
          <t>〉〉〉</t>
        </is>
      </c>
      <c r="E13" s="520" t="n">
        <v>1</v>
      </c>
      <c r="F13" s="520" t="n">
        <v>2</v>
      </c>
      <c r="G13" s="523" t="inlineStr">
        <is>
          <t>〉〉〉</t>
        </is>
      </c>
      <c r="H13" s="520" t="n">
        <v>3</v>
      </c>
      <c r="I13" s="520" t="n">
        <v>4</v>
      </c>
      <c r="J13" s="520" t="n">
        <v>5</v>
      </c>
      <c r="K13" s="520" t="n">
        <v>6</v>
      </c>
      <c r="L13" s="520" t="n">
        <v>7</v>
      </c>
    </row>
    <row r="14">
      <c r="B14" s="219">
        <f>VLOOKUP(B13,オッズデータ入力!$AA$8:$AB$25,2,FALSE)</f>
        <v/>
      </c>
      <c r="C14" s="219">
        <f>VLOOKUP(C13,オッズデータ入力!$AA$8:$AB$25,2,FALSE)</f>
        <v/>
      </c>
      <c r="D14" s="353" t="n"/>
      <c r="E14" s="219">
        <f>VLOOKUP(E13,オッズデータ入力!$AA$8:$AB$25,2,FALSE)</f>
        <v/>
      </c>
      <c r="F14" s="219">
        <f>VLOOKUP(F13,オッズデータ入力!$AA$8:$AB$25,2,FALSE)</f>
        <v/>
      </c>
      <c r="G14" s="353" t="n"/>
      <c r="H14" s="219">
        <f>VLOOKUP(H13,オッズデータ入力!$AA$8:$AB$25,2,FALSE)</f>
        <v/>
      </c>
      <c r="I14" s="219">
        <f>VLOOKUP(I13,オッズデータ入力!$AA$8:$AB$25,2,FALSE)</f>
        <v/>
      </c>
      <c r="J14" s="219">
        <f>VLOOKUP(J13,オッズデータ入力!$AA$8:$AB$25,2,FALSE)</f>
        <v/>
      </c>
      <c r="K14" s="219">
        <f>VLOOKUP(K13,オッズデータ入力!$AA$8:$AB$25,2,FALSE)</f>
        <v/>
      </c>
      <c r="L14" s="219">
        <f>VLOOKUP(L13,オッズデータ入力!$AA$8:$AB$25,2,FALSE)</f>
        <v/>
      </c>
    </row>
    <row r="15">
      <c r="B15" s="258" t="inlineStr">
        <is>
          <t>※　2頭が抜けていると判断した時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37.5" customHeight="1"/>
    <row r="17">
      <c r="A17" s="354" t="inlineStr">
        <is>
          <t>④　2-4-6（24点）</t>
        </is>
      </c>
      <c r="B17" s="1" t="inlineStr">
        <is>
          <t>◎</t>
        </is>
      </c>
      <c r="C17" s="1" t="inlineStr">
        <is>
          <t>〇</t>
        </is>
      </c>
      <c r="E17" s="1" t="inlineStr">
        <is>
          <t>◎</t>
        </is>
      </c>
      <c r="F17" s="1" t="inlineStr">
        <is>
          <t>〇</t>
        </is>
      </c>
      <c r="G17" s="1" t="inlineStr">
        <is>
          <t>▲</t>
        </is>
      </c>
      <c r="H17" s="1" t="inlineStr">
        <is>
          <t>△</t>
        </is>
      </c>
      <c r="J17" s="1" t="inlineStr">
        <is>
          <t>◎</t>
        </is>
      </c>
      <c r="K17" s="1" t="inlineStr">
        <is>
          <t>〇</t>
        </is>
      </c>
      <c r="L17" s="1" t="inlineStr">
        <is>
          <t>▲</t>
        </is>
      </c>
      <c r="M17" s="1" t="inlineStr">
        <is>
          <t>△</t>
        </is>
      </c>
      <c r="N17" s="1" t="inlineStr">
        <is>
          <t>★</t>
        </is>
      </c>
      <c r="O17" s="1" t="inlineStr">
        <is>
          <t>☆</t>
        </is>
      </c>
    </row>
    <row r="18">
      <c r="B18" s="520" t="n">
        <v>1</v>
      </c>
      <c r="C18" s="520" t="n">
        <v>2</v>
      </c>
      <c r="D18" s="523" t="inlineStr">
        <is>
          <t>〉〉〉</t>
        </is>
      </c>
      <c r="E18" s="520" t="n">
        <v>1</v>
      </c>
      <c r="F18" s="520" t="n">
        <v>2</v>
      </c>
      <c r="G18" s="520" t="n">
        <v>3</v>
      </c>
      <c r="H18" s="520" t="n">
        <v>4</v>
      </c>
      <c r="I18" s="523" t="inlineStr">
        <is>
          <t>〉〉〉</t>
        </is>
      </c>
      <c r="J18" s="520" t="n">
        <v>1</v>
      </c>
      <c r="K18" s="520" t="n">
        <v>2</v>
      </c>
      <c r="L18" s="520" t="n">
        <v>3</v>
      </c>
      <c r="M18" s="520" t="n">
        <v>4</v>
      </c>
      <c r="N18" s="520" t="n">
        <v>5</v>
      </c>
      <c r="O18" s="520" t="n">
        <v>6</v>
      </c>
    </row>
    <row r="19">
      <c r="B19" s="219">
        <f>VLOOKUP(B18,オッズデータ入力!$AA$8:$AB$25,2,FALSE)</f>
        <v/>
      </c>
      <c r="C19" s="219">
        <f>VLOOKUP(C18,オッズデータ入力!$AA$8:$AB$25,2,FALSE)</f>
        <v/>
      </c>
      <c r="D19" s="353" t="n"/>
      <c r="E19" s="219">
        <f>VLOOKUP(E18,オッズデータ入力!$AA$8:$AB$25,2,FALSE)</f>
        <v/>
      </c>
      <c r="F19" s="219">
        <f>VLOOKUP(F18,オッズデータ入力!$AA$8:$AB$25,2,FALSE)</f>
        <v/>
      </c>
      <c r="G19" s="219">
        <f>VLOOKUP(G18,オッズデータ入力!$AA$8:$AB$25,2,FALSE)</f>
        <v/>
      </c>
      <c r="H19" s="219">
        <f>VLOOKUP(H18,オッズデータ入力!$AA$8:$AB$25,2,FALSE)</f>
        <v/>
      </c>
      <c r="I19" s="353" t="n"/>
      <c r="J19" s="219">
        <f>VLOOKUP(J18,オッズデータ入力!$AA$8:$AB$25,2,FALSE)</f>
        <v/>
      </c>
      <c r="K19" s="219">
        <f>VLOOKUP(K18,オッズデータ入力!$AA$8:$AB$25,2,FALSE)</f>
        <v/>
      </c>
      <c r="L19" s="219">
        <f>VLOOKUP(L18,オッズデータ入力!$AA$8:$AB$25,2,FALSE)</f>
        <v/>
      </c>
      <c r="M19" s="219">
        <f>VLOOKUP(M18,オッズデータ入力!$AA$8:$AB$25,2,FALSE)</f>
        <v/>
      </c>
      <c r="N19" s="219">
        <f>VLOOKUP(N18,オッズデータ入力!$AA$8:$AB$25,2,FALSE)</f>
        <v/>
      </c>
      <c r="O19" s="219">
        <f>VLOOKUP(O18,オッズデータ入力!$AA$8:$AB$25,2,FALSE)</f>
        <v/>
      </c>
    </row>
    <row r="20">
      <c r="B20" t="inlineStr">
        <is>
          <t>※　2着候補を4頭まで選べる</t>
        </is>
      </c>
      <c r="D20" s="115" t="n"/>
      <c r="I20" s="115" t="n"/>
    </row>
    <row r="21" ht="36.75" customHeight="1" thickBot="1">
      <c r="D21" s="115" t="n"/>
      <c r="I21" s="115" t="n"/>
    </row>
    <row r="22" ht="23.25" customHeight="1" thickBot="1">
      <c r="A22" s="356" t="inlineStr">
        <is>
          <t>ジャイさんの買い方</t>
        </is>
      </c>
      <c r="D22" s="115" t="n"/>
      <c r="I22" s="115" t="n"/>
    </row>
    <row r="23">
      <c r="B23" s="1" t="inlineStr">
        <is>
          <t>◎</t>
        </is>
      </c>
      <c r="D23" s="1" t="inlineStr">
        <is>
          <t>〇</t>
        </is>
      </c>
      <c r="E23" s="1" t="inlineStr">
        <is>
          <t>▲</t>
        </is>
      </c>
      <c r="G23" s="1" t="inlineStr">
        <is>
          <t>△</t>
        </is>
      </c>
      <c r="H23" s="1" t="inlineStr">
        <is>
          <t>△</t>
        </is>
      </c>
      <c r="I23" s="1" t="inlineStr">
        <is>
          <t>△</t>
        </is>
      </c>
      <c r="J23" s="1" t="inlineStr">
        <is>
          <t>△</t>
        </is>
      </c>
      <c r="K23" s="1" t="inlineStr">
        <is>
          <t>△</t>
        </is>
      </c>
      <c r="L23" s="1" t="inlineStr">
        <is>
          <t>△</t>
        </is>
      </c>
      <c r="M23" s="1" t="inlineStr">
        <is>
          <t>△</t>
        </is>
      </c>
      <c r="N23" s="1" t="inlineStr">
        <is>
          <t>△</t>
        </is>
      </c>
      <c r="O23" s="1" t="inlineStr">
        <is>
          <t>△</t>
        </is>
      </c>
      <c r="P23" s="1" t="inlineStr">
        <is>
          <t>△</t>
        </is>
      </c>
      <c r="Q23" s="1" t="inlineStr">
        <is>
          <t>△</t>
        </is>
      </c>
    </row>
    <row r="24">
      <c r="A24" s="354" t="inlineStr">
        <is>
          <t>①　1-2-11（22点）</t>
        </is>
      </c>
      <c r="B24" s="520" t="n">
        <v>1</v>
      </c>
      <c r="C24" s="523" t="inlineStr">
        <is>
          <t>〉〉〉</t>
        </is>
      </c>
      <c r="D24" s="520" t="n">
        <v>2</v>
      </c>
      <c r="E24" s="520" t="n">
        <v>3</v>
      </c>
      <c r="F24" s="523" t="inlineStr">
        <is>
          <t>〉〉〉</t>
        </is>
      </c>
      <c r="G24" s="520" t="n">
        <v>4</v>
      </c>
      <c r="H24" s="520" t="n">
        <v>5</v>
      </c>
      <c r="I24" s="520" t="n">
        <v>6</v>
      </c>
      <c r="J24" s="520" t="n">
        <v>7</v>
      </c>
      <c r="K24" s="520" t="n">
        <v>8</v>
      </c>
      <c r="L24" s="520" t="n">
        <v>9</v>
      </c>
      <c r="M24" s="520" t="n">
        <v>10</v>
      </c>
      <c r="N24" s="520" t="n">
        <v>11</v>
      </c>
      <c r="O24" s="520" t="n">
        <v>12</v>
      </c>
      <c r="P24" s="520" t="n">
        <v>13</v>
      </c>
      <c r="Q24" s="520" t="n">
        <v>14</v>
      </c>
    </row>
    <row r="25">
      <c r="B25" s="219">
        <f>VLOOKUP(B24,オッズデータ入力!$AA$8:$AB$25,2,FALSE)</f>
        <v/>
      </c>
      <c r="D25" s="219">
        <f>VLOOKUP(D24,オッズデータ入力!$AA$8:$AB$25,2,FALSE)</f>
        <v/>
      </c>
      <c r="E25" s="219">
        <f>VLOOKUP(E24,オッズデータ入力!$AA$8:$AB$25,2,FALSE)</f>
        <v/>
      </c>
      <c r="G25" s="219">
        <f>VLOOKUP(G24,オッズデータ入力!$AA$8:$AB$25,2,FALSE)</f>
        <v/>
      </c>
      <c r="H25" s="219">
        <f>VLOOKUP(H24,オッズデータ入力!$AA$8:$AB$25,2,FALSE)</f>
        <v/>
      </c>
      <c r="I25" s="219">
        <f>VLOOKUP(I24,オッズデータ入力!$AA$8:$AB$25,2,FALSE)</f>
        <v/>
      </c>
      <c r="J25" s="219">
        <f>VLOOKUP(J24,オッズデータ入力!$AA$8:$AB$25,2,FALSE)</f>
        <v/>
      </c>
      <c r="K25" s="219">
        <f>VLOOKUP(K24,オッズデータ入力!$AA$8:$AB$25,2,FALSE)</f>
        <v/>
      </c>
      <c r="L25" s="219">
        <f>VLOOKUP(L24,オッズデータ入力!$AA$8:$AB$25,2,FALSE)</f>
        <v/>
      </c>
      <c r="M25" s="219">
        <f>VLOOKUP(M24,オッズデータ入力!$AA$8:$AB$25,2,FALSE)</f>
        <v/>
      </c>
      <c r="N25" s="219">
        <f>VLOOKUP(N24,オッズデータ入力!$AA$8:$AB$25,2,FALSE)</f>
        <v/>
      </c>
      <c r="O25" s="219">
        <f>VLOOKUP(O24,オッズデータ入力!$AA$8:$AB$25,2,FALSE)</f>
        <v/>
      </c>
      <c r="P25" s="219">
        <f>VLOOKUP(P24,オッズデータ入力!$AA$8:$AB$25,2,FALSE)</f>
        <v/>
      </c>
      <c r="Q25" s="219">
        <f>VLOOKUP(Q24,オッズデータ入力!$AA$8:$AB$25,2,FALSE)</f>
        <v/>
      </c>
    </row>
    <row r="26">
      <c r="D26" s="115" t="n"/>
      <c r="I26" s="115" t="n"/>
    </row>
    <row r="27">
      <c r="B27" s="1" t="inlineStr">
        <is>
          <t>◎</t>
        </is>
      </c>
      <c r="D27" s="1" t="inlineStr">
        <is>
          <t>△</t>
        </is>
      </c>
      <c r="E27" s="1" t="inlineStr">
        <is>
          <t>△</t>
        </is>
      </c>
      <c r="F27" s="1" t="inlineStr">
        <is>
          <t>△</t>
        </is>
      </c>
      <c r="G27" s="1" t="inlineStr">
        <is>
          <t>△</t>
        </is>
      </c>
      <c r="H27" s="1" t="inlineStr">
        <is>
          <t>△</t>
        </is>
      </c>
      <c r="I27" s="1" t="inlineStr">
        <is>
          <t>△</t>
        </is>
      </c>
      <c r="J27" s="1" t="inlineStr">
        <is>
          <t>△</t>
        </is>
      </c>
      <c r="K27" s="1" t="inlineStr">
        <is>
          <t>△</t>
        </is>
      </c>
      <c r="L27" s="1" t="inlineStr">
        <is>
          <t>△</t>
        </is>
      </c>
      <c r="M27" s="1" t="inlineStr">
        <is>
          <t>△</t>
        </is>
      </c>
      <c r="N27" s="1" t="inlineStr">
        <is>
          <t>△</t>
        </is>
      </c>
      <c r="P27" s="1" t="inlineStr">
        <is>
          <t>〇</t>
        </is>
      </c>
      <c r="Q27" s="1" t="inlineStr">
        <is>
          <t>▲</t>
        </is>
      </c>
    </row>
    <row r="28">
      <c r="A28" s="354" t="inlineStr">
        <is>
          <t>②　1-11-2（22点）</t>
        </is>
      </c>
      <c r="B28" s="520" t="n">
        <v>1</v>
      </c>
      <c r="C28" s="523" t="inlineStr">
        <is>
          <t>〉〉〉</t>
        </is>
      </c>
      <c r="D28" s="520" t="n">
        <v>4</v>
      </c>
      <c r="E28" s="520" t="n">
        <v>5</v>
      </c>
      <c r="F28" s="520" t="n">
        <v>6</v>
      </c>
      <c r="G28" s="520" t="n">
        <v>7</v>
      </c>
      <c r="H28" s="520" t="n">
        <v>8</v>
      </c>
      <c r="I28" s="520" t="n">
        <v>9</v>
      </c>
      <c r="J28" s="520" t="n">
        <v>10</v>
      </c>
      <c r="K28" s="520" t="n">
        <v>11</v>
      </c>
      <c r="L28" s="520" t="n">
        <v>12</v>
      </c>
      <c r="M28" s="520" t="n">
        <v>13</v>
      </c>
      <c r="N28" s="520" t="n">
        <v>14</v>
      </c>
      <c r="O28" s="523" t="inlineStr">
        <is>
          <t>〉〉〉</t>
        </is>
      </c>
      <c r="P28" s="520" t="n">
        <v>2</v>
      </c>
      <c r="Q28" s="520" t="n">
        <v>3</v>
      </c>
    </row>
    <row r="29">
      <c r="B29" s="219">
        <f>VLOOKUP(B28,オッズデータ入力!$AA$8:$AB$25,2,FALSE)</f>
        <v/>
      </c>
      <c r="D29" s="219">
        <f>VLOOKUP(D28,オッズデータ入力!$AA$8:$AB$25,2,FALSE)</f>
        <v/>
      </c>
      <c r="E29" s="219">
        <f>VLOOKUP(E28,オッズデータ入力!$AA$8:$AB$25,2,FALSE)</f>
        <v/>
      </c>
      <c r="F29" s="219">
        <f>VLOOKUP(F28,オッズデータ入力!$AA$8:$AB$25,2,FALSE)</f>
        <v/>
      </c>
      <c r="G29" s="219">
        <f>VLOOKUP(G28,オッズデータ入力!$AA$8:$AB$25,2,FALSE)</f>
        <v/>
      </c>
      <c r="H29" s="219">
        <f>VLOOKUP(H28,オッズデータ入力!$AA$8:$AB$25,2,FALSE)</f>
        <v/>
      </c>
      <c r="I29" s="219">
        <f>VLOOKUP(I28,オッズデータ入力!$AA$8:$AB$25,2,FALSE)</f>
        <v/>
      </c>
      <c r="J29" s="219">
        <f>VLOOKUP(J28,オッズデータ入力!$AA$8:$AB$25,2,FALSE)</f>
        <v/>
      </c>
      <c r="K29" s="219">
        <f>VLOOKUP(K28,オッズデータ入力!$AA$8:$AB$25,2,FALSE)</f>
        <v/>
      </c>
      <c r="L29" s="219">
        <f>VLOOKUP(L28,オッズデータ入力!$AA$8:$AB$25,2,FALSE)</f>
        <v/>
      </c>
      <c r="M29" s="219">
        <f>VLOOKUP(M28,オッズデータ入力!$AA$8:$AB$25,2,FALSE)</f>
        <v/>
      </c>
      <c r="N29" s="219">
        <f>VLOOKUP(N28,オッズデータ入力!$AA$8:$AB$25,2,FALSE)</f>
        <v/>
      </c>
      <c r="P29" s="219">
        <f>VLOOKUP(P28,オッズデータ入力!$AA$8:$AB$25,2,FALSE)</f>
        <v/>
      </c>
      <c r="Q29" s="219">
        <f>VLOOKUP(Q28,オッズデータ入力!$AA$8:$AB$25,2,FALSE)</f>
        <v/>
      </c>
    </row>
    <row r="30">
      <c r="D30" s="115" t="n"/>
      <c r="I30" s="115" t="n"/>
    </row>
    <row r="31">
      <c r="B31" s="1" t="inlineStr">
        <is>
          <t>〇</t>
        </is>
      </c>
      <c r="C31" s="1" t="inlineStr">
        <is>
          <t>▲</t>
        </is>
      </c>
      <c r="E31" s="1" t="inlineStr">
        <is>
          <t>◎</t>
        </is>
      </c>
      <c r="G31" s="1" t="inlineStr">
        <is>
          <t>△</t>
        </is>
      </c>
      <c r="H31" s="1" t="inlineStr">
        <is>
          <t>△</t>
        </is>
      </c>
      <c r="I31" s="1" t="inlineStr">
        <is>
          <t>△</t>
        </is>
      </c>
      <c r="J31" s="1" t="inlineStr">
        <is>
          <t>△</t>
        </is>
      </c>
      <c r="K31" s="1" t="inlineStr">
        <is>
          <t>△</t>
        </is>
      </c>
      <c r="L31" s="1" t="inlineStr">
        <is>
          <t>△</t>
        </is>
      </c>
      <c r="M31" s="1" t="inlineStr">
        <is>
          <t>△</t>
        </is>
      </c>
      <c r="N31" s="1" t="inlineStr">
        <is>
          <t>△</t>
        </is>
      </c>
      <c r="O31" s="1" t="inlineStr">
        <is>
          <t>△</t>
        </is>
      </c>
      <c r="P31" s="1" t="inlineStr">
        <is>
          <t>△</t>
        </is>
      </c>
      <c r="Q31" s="1" t="inlineStr">
        <is>
          <t>△</t>
        </is>
      </c>
    </row>
    <row r="32">
      <c r="A32" s="354" t="inlineStr">
        <is>
          <t>③　2-1-11（22点）</t>
        </is>
      </c>
      <c r="B32" s="520" t="n">
        <v>2</v>
      </c>
      <c r="C32" s="520" t="n">
        <v>3</v>
      </c>
      <c r="D32" s="523" t="inlineStr">
        <is>
          <t>〉〉〉</t>
        </is>
      </c>
      <c r="E32" s="520" t="n">
        <v>1</v>
      </c>
      <c r="F32" s="523" t="inlineStr">
        <is>
          <t>〉〉〉</t>
        </is>
      </c>
      <c r="G32" s="520" t="n">
        <v>4</v>
      </c>
      <c r="H32" s="520" t="n">
        <v>5</v>
      </c>
      <c r="I32" s="520" t="n">
        <v>6</v>
      </c>
      <c r="J32" s="520" t="n">
        <v>7</v>
      </c>
      <c r="K32" s="520" t="n">
        <v>8</v>
      </c>
      <c r="L32" s="520" t="n">
        <v>9</v>
      </c>
      <c r="M32" s="520" t="n">
        <v>10</v>
      </c>
      <c r="N32" s="520" t="n">
        <v>11</v>
      </c>
      <c r="O32" s="520" t="n">
        <v>12</v>
      </c>
      <c r="P32" s="520" t="n">
        <v>13</v>
      </c>
      <c r="Q32" s="520" t="n">
        <v>14</v>
      </c>
    </row>
    <row r="33">
      <c r="B33" s="219">
        <f>VLOOKUP(B32,オッズデータ入力!$AA$8:$AB$25,2,FALSE)</f>
        <v/>
      </c>
      <c r="C33" s="219">
        <f>VLOOKUP(C32,オッズデータ入力!$AA$8:$AB$25,2,FALSE)</f>
        <v/>
      </c>
      <c r="E33" s="219">
        <f>VLOOKUP(E32,オッズデータ入力!$AA$8:$AB$25,2,FALSE)</f>
        <v/>
      </c>
      <c r="G33" s="219">
        <f>VLOOKUP(G32,オッズデータ入力!$AA$8:$AB$25,2,FALSE)</f>
        <v/>
      </c>
      <c r="H33" s="219">
        <f>VLOOKUP(H32,オッズデータ入力!$AA$8:$AB$25,2,FALSE)</f>
        <v/>
      </c>
      <c r="I33" s="219">
        <f>VLOOKUP(I32,オッズデータ入力!$AA$8:$AB$25,2,FALSE)</f>
        <v/>
      </c>
      <c r="J33" s="219">
        <f>VLOOKUP(J32,オッズデータ入力!$AA$8:$AB$25,2,FALSE)</f>
        <v/>
      </c>
      <c r="K33" s="219">
        <f>VLOOKUP(K32,オッズデータ入力!$AA$8:$AB$25,2,FALSE)</f>
        <v/>
      </c>
      <c r="L33" s="219">
        <f>VLOOKUP(L32,オッズデータ入力!$AA$8:$AB$25,2,FALSE)</f>
        <v/>
      </c>
      <c r="M33" s="219">
        <f>VLOOKUP(M32,オッズデータ入力!$AA$8:$AB$25,2,FALSE)</f>
        <v/>
      </c>
      <c r="N33" s="219">
        <f>VLOOKUP(N32,オッズデータ入力!$AA$8:$AB$25,2,FALSE)</f>
        <v/>
      </c>
      <c r="O33" s="219">
        <f>VLOOKUP(O32,オッズデータ入力!$AA$8:$AB$25,2,FALSE)</f>
        <v/>
      </c>
      <c r="P33" s="219">
        <f>VLOOKUP(P32,オッズデータ入力!$AA$8:$AB$25,2,FALSE)</f>
        <v/>
      </c>
      <c r="Q33" s="219">
        <f>VLOOKUP(Q32,オッズデータ入力!$AA$8:$AB$25,2,FALSE)</f>
        <v/>
      </c>
    </row>
    <row r="34">
      <c r="B34" s="1" t="n"/>
      <c r="C34" s="1" t="n"/>
      <c r="E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B35" s="1" t="inlineStr">
        <is>
          <t>〇</t>
        </is>
      </c>
      <c r="C35" s="1" t="inlineStr">
        <is>
          <t>▲</t>
        </is>
      </c>
      <c r="E35" s="1" t="inlineStr">
        <is>
          <t>△</t>
        </is>
      </c>
      <c r="F35" s="1" t="inlineStr">
        <is>
          <t>△</t>
        </is>
      </c>
      <c r="G35" s="1" t="inlineStr">
        <is>
          <t>△</t>
        </is>
      </c>
      <c r="H35" s="1" t="inlineStr">
        <is>
          <t>△</t>
        </is>
      </c>
      <c r="I35" s="1" t="inlineStr">
        <is>
          <t>△</t>
        </is>
      </c>
      <c r="J35" s="1" t="inlineStr">
        <is>
          <t>△</t>
        </is>
      </c>
      <c r="K35" s="1" t="inlineStr">
        <is>
          <t>△</t>
        </is>
      </c>
      <c r="L35" s="1" t="inlineStr">
        <is>
          <t>△</t>
        </is>
      </c>
      <c r="M35" s="1" t="inlineStr">
        <is>
          <t>△</t>
        </is>
      </c>
      <c r="N35" s="1" t="inlineStr">
        <is>
          <t>△</t>
        </is>
      </c>
      <c r="O35" s="1" t="inlineStr">
        <is>
          <t>△</t>
        </is>
      </c>
      <c r="Q35" s="1" t="inlineStr">
        <is>
          <t>◎</t>
        </is>
      </c>
    </row>
    <row r="36">
      <c r="A36" s="354" t="inlineStr">
        <is>
          <t>④　2-11-1（22点）</t>
        </is>
      </c>
      <c r="B36" s="520" t="n">
        <v>2</v>
      </c>
      <c r="C36" s="520" t="n">
        <v>3</v>
      </c>
      <c r="D36" s="523" t="inlineStr">
        <is>
          <t>〉〉〉</t>
        </is>
      </c>
      <c r="E36" s="520" t="n">
        <v>4</v>
      </c>
      <c r="F36" s="520" t="n">
        <v>5</v>
      </c>
      <c r="G36" s="520" t="n">
        <v>6</v>
      </c>
      <c r="H36" s="520" t="n">
        <v>7</v>
      </c>
      <c r="I36" s="520" t="n">
        <v>8</v>
      </c>
      <c r="J36" s="520" t="n">
        <v>9</v>
      </c>
      <c r="K36" s="520" t="n">
        <v>10</v>
      </c>
      <c r="L36" s="520" t="n">
        <v>11</v>
      </c>
      <c r="M36" s="520" t="n">
        <v>12</v>
      </c>
      <c r="N36" s="520" t="n">
        <v>13</v>
      </c>
      <c r="O36" s="520" t="n">
        <v>14</v>
      </c>
      <c r="P36" s="523" t="inlineStr">
        <is>
          <t>〉〉〉</t>
        </is>
      </c>
      <c r="Q36" s="520" t="n">
        <v>1</v>
      </c>
    </row>
    <row r="37">
      <c r="B37" s="219">
        <f>VLOOKUP(B36,オッズデータ入力!$AA$8:$AB$25,2,FALSE)</f>
        <v/>
      </c>
      <c r="C37" s="219">
        <f>VLOOKUP(C36,オッズデータ入力!$AA$8:$AB$25,2,FALSE)</f>
        <v/>
      </c>
      <c r="E37" s="219">
        <f>VLOOKUP(E36,オッズデータ入力!$AA$8:$AB$25,2,FALSE)</f>
        <v/>
      </c>
      <c r="F37" s="219">
        <f>VLOOKUP(F36,オッズデータ入力!$AA$8:$AB$25,2,FALSE)</f>
        <v/>
      </c>
      <c r="G37" s="219">
        <f>VLOOKUP(G36,オッズデータ入力!$AA$8:$AB$25,2,FALSE)</f>
        <v/>
      </c>
      <c r="H37" s="219">
        <f>VLOOKUP(H36,オッズデータ入力!$AA$8:$AB$25,2,FALSE)</f>
        <v/>
      </c>
      <c r="I37" s="219">
        <f>VLOOKUP(I36,オッズデータ入力!$AA$8:$AB$25,2,FALSE)</f>
        <v/>
      </c>
      <c r="J37" s="219">
        <f>VLOOKUP(J36,オッズデータ入力!$AA$8:$AB$25,2,FALSE)</f>
        <v/>
      </c>
      <c r="K37" s="219">
        <f>VLOOKUP(K36,オッズデータ入力!$AA$8:$AB$25,2,FALSE)</f>
        <v/>
      </c>
      <c r="L37" s="219">
        <f>VLOOKUP(L36,オッズデータ入力!$AA$8:$AB$25,2,FALSE)</f>
        <v/>
      </c>
      <c r="M37" s="219">
        <f>VLOOKUP(M36,オッズデータ入力!$AA$8:$AB$25,2,FALSE)</f>
        <v/>
      </c>
      <c r="N37" s="219">
        <f>VLOOKUP(N36,オッズデータ入力!$AA$8:$AB$25,2,FALSE)</f>
        <v/>
      </c>
      <c r="O37" s="219">
        <f>VLOOKUP(O36,オッズデータ入力!$AA$8:$AB$25,2,FALSE)</f>
        <v/>
      </c>
      <c r="Q37" s="219">
        <f>VLOOKUP(Q36,オッズデータ入力!$AA$8:$AB$25,2,FALSE)</f>
        <v/>
      </c>
    </row>
    <row r="38">
      <c r="B38" s="1" t="n"/>
      <c r="C38" s="1" t="n"/>
      <c r="E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B39" s="1" t="inlineStr">
        <is>
          <t>△</t>
        </is>
      </c>
      <c r="C39" s="1" t="inlineStr">
        <is>
          <t>△</t>
        </is>
      </c>
      <c r="D39" s="1" t="inlineStr">
        <is>
          <t>△</t>
        </is>
      </c>
      <c r="E39" s="1" t="inlineStr">
        <is>
          <t>△</t>
        </is>
      </c>
      <c r="F39" s="1" t="inlineStr">
        <is>
          <t>△</t>
        </is>
      </c>
      <c r="G39" s="1" t="inlineStr">
        <is>
          <t>△</t>
        </is>
      </c>
      <c r="H39" s="1" t="inlineStr">
        <is>
          <t>△</t>
        </is>
      </c>
      <c r="I39" s="1" t="inlineStr">
        <is>
          <t>△</t>
        </is>
      </c>
      <c r="J39" s="1" t="inlineStr">
        <is>
          <t>△</t>
        </is>
      </c>
      <c r="K39" s="1" t="inlineStr">
        <is>
          <t>△</t>
        </is>
      </c>
      <c r="L39" s="1" t="inlineStr">
        <is>
          <t>△</t>
        </is>
      </c>
      <c r="N39" s="1" t="inlineStr">
        <is>
          <t>〇</t>
        </is>
      </c>
      <c r="O39" s="1" t="inlineStr">
        <is>
          <t>▲</t>
        </is>
      </c>
      <c r="Q39" s="1" t="inlineStr">
        <is>
          <t>◎</t>
        </is>
      </c>
    </row>
    <row r="40">
      <c r="A40" s="354" t="inlineStr">
        <is>
          <t>⑤　11-2-1（22点）</t>
        </is>
      </c>
      <c r="B40" s="520" t="n">
        <v>4</v>
      </c>
      <c r="C40" s="520" t="n">
        <v>5</v>
      </c>
      <c r="D40" s="520" t="n">
        <v>6</v>
      </c>
      <c r="E40" s="520" t="n">
        <v>7</v>
      </c>
      <c r="F40" s="520" t="n">
        <v>8</v>
      </c>
      <c r="G40" s="520" t="n">
        <v>9</v>
      </c>
      <c r="H40" s="520" t="n">
        <v>10</v>
      </c>
      <c r="I40" s="520" t="n">
        <v>11</v>
      </c>
      <c r="J40" s="520" t="n">
        <v>12</v>
      </c>
      <c r="K40" s="520" t="n">
        <v>13</v>
      </c>
      <c r="L40" s="520" t="n">
        <v>14</v>
      </c>
      <c r="M40" s="523" t="inlineStr">
        <is>
          <t>〉〉〉</t>
        </is>
      </c>
      <c r="N40" s="520" t="n">
        <v>2</v>
      </c>
      <c r="O40" s="520" t="n">
        <v>3</v>
      </c>
      <c r="P40" s="523" t="inlineStr">
        <is>
          <t>〉〉〉</t>
        </is>
      </c>
      <c r="Q40" s="520" t="n">
        <v>1</v>
      </c>
    </row>
    <row r="41">
      <c r="B41" s="219">
        <f>VLOOKUP(B40,オッズデータ入力!$AA$8:$AB$25,2,FALSE)</f>
        <v/>
      </c>
      <c r="C41" s="219">
        <f>VLOOKUP(C40,オッズデータ入力!$AA$8:$AB$25,2,FALSE)</f>
        <v/>
      </c>
      <c r="D41" s="219">
        <f>VLOOKUP(D40,オッズデータ入力!$AA$8:$AB$25,2,FALSE)</f>
        <v/>
      </c>
      <c r="E41" s="219">
        <f>VLOOKUP(E40,オッズデータ入力!$AA$8:$AB$25,2,FALSE)</f>
        <v/>
      </c>
      <c r="F41" s="219">
        <f>VLOOKUP(F40,オッズデータ入力!$AA$8:$AB$25,2,FALSE)</f>
        <v/>
      </c>
      <c r="G41" s="219">
        <f>VLOOKUP(G40,オッズデータ入力!$AA$8:$AB$25,2,FALSE)</f>
        <v/>
      </c>
      <c r="H41" s="219">
        <f>VLOOKUP(H40,オッズデータ入力!$AA$8:$AB$25,2,FALSE)</f>
        <v/>
      </c>
      <c r="I41" s="219">
        <f>VLOOKUP(I40,オッズデータ入力!$AA$8:$AB$25,2,FALSE)</f>
        <v/>
      </c>
      <c r="J41" s="219">
        <f>VLOOKUP(J40,オッズデータ入力!$AA$8:$AB$25,2,FALSE)</f>
        <v/>
      </c>
      <c r="K41" s="219">
        <f>VLOOKUP(K40,オッズデータ入力!$AA$8:$AB$25,2,FALSE)</f>
        <v/>
      </c>
      <c r="L41" s="219">
        <f>VLOOKUP(L40,オッズデータ入力!$AA$8:$AB$25,2,FALSE)</f>
        <v/>
      </c>
      <c r="N41" s="219">
        <f>VLOOKUP(N40,オッズデータ入力!$AA$8:$AB$25,2,FALSE)</f>
        <v/>
      </c>
      <c r="O41" s="219">
        <f>VLOOKUP(O40,オッズデータ入力!$AA$8:$AB$25,2,FALSE)</f>
        <v/>
      </c>
      <c r="Q41" s="219">
        <f>VLOOKUP(Q40,オッズデータ入力!$AA$8:$AB$25,2,FALSE)</f>
        <v/>
      </c>
    </row>
    <row r="42">
      <c r="B42" s="1" t="n"/>
      <c r="C42" s="1" t="n"/>
      <c r="E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B43" s="1" t="inlineStr">
        <is>
          <t>△</t>
        </is>
      </c>
      <c r="C43" s="1" t="inlineStr">
        <is>
          <t>△</t>
        </is>
      </c>
      <c r="D43" s="1" t="inlineStr">
        <is>
          <t>△</t>
        </is>
      </c>
      <c r="E43" s="1" t="inlineStr">
        <is>
          <t>△</t>
        </is>
      </c>
      <c r="F43" s="1" t="inlineStr">
        <is>
          <t>△</t>
        </is>
      </c>
      <c r="G43" s="1" t="inlineStr">
        <is>
          <t>△</t>
        </is>
      </c>
      <c r="H43" s="1" t="inlineStr">
        <is>
          <t>△</t>
        </is>
      </c>
      <c r="I43" s="1" t="inlineStr">
        <is>
          <t>△</t>
        </is>
      </c>
      <c r="J43" s="1" t="inlineStr">
        <is>
          <t>△</t>
        </is>
      </c>
      <c r="K43" s="1" t="inlineStr">
        <is>
          <t>△</t>
        </is>
      </c>
      <c r="L43" s="1" t="inlineStr">
        <is>
          <t>△</t>
        </is>
      </c>
      <c r="N43" s="1" t="inlineStr">
        <is>
          <t>◎</t>
        </is>
      </c>
      <c r="P43" s="1" t="inlineStr">
        <is>
          <t>〇</t>
        </is>
      </c>
      <c r="Q43" s="1" t="inlineStr">
        <is>
          <t>▲</t>
        </is>
      </c>
    </row>
    <row r="44">
      <c r="A44" s="354" t="inlineStr">
        <is>
          <t>⑥　11-1-2（22点）</t>
        </is>
      </c>
      <c r="B44" s="520" t="n">
        <v>4</v>
      </c>
      <c r="C44" s="520" t="n">
        <v>5</v>
      </c>
      <c r="D44" s="520" t="n">
        <v>6</v>
      </c>
      <c r="E44" s="520" t="n">
        <v>7</v>
      </c>
      <c r="F44" s="520" t="n">
        <v>8</v>
      </c>
      <c r="G44" s="520" t="n">
        <v>9</v>
      </c>
      <c r="H44" s="520" t="n">
        <v>10</v>
      </c>
      <c r="I44" s="520" t="n">
        <v>11</v>
      </c>
      <c r="J44" s="520" t="n">
        <v>12</v>
      </c>
      <c r="K44" s="520" t="n">
        <v>13</v>
      </c>
      <c r="L44" s="520" t="n">
        <v>14</v>
      </c>
      <c r="M44" s="523" t="inlineStr">
        <is>
          <t>〉〉〉</t>
        </is>
      </c>
      <c r="N44" s="520" t="n">
        <v>1</v>
      </c>
      <c r="O44" s="523" t="inlineStr">
        <is>
          <t>〉〉〉</t>
        </is>
      </c>
      <c r="P44" s="520" t="n">
        <v>2</v>
      </c>
      <c r="Q44" s="520" t="n">
        <v>3</v>
      </c>
    </row>
    <row r="45">
      <c r="B45" s="219">
        <f>VLOOKUP(B44,オッズデータ入力!$AA$8:$AB$25,2,FALSE)</f>
        <v/>
      </c>
      <c r="C45" s="219">
        <f>VLOOKUP(C44,オッズデータ入力!$AA$8:$AB$25,2,FALSE)</f>
        <v/>
      </c>
      <c r="D45" s="219">
        <f>VLOOKUP(D44,オッズデータ入力!$AA$8:$AB$25,2,FALSE)</f>
        <v/>
      </c>
      <c r="E45" s="219">
        <f>VLOOKUP(E44,オッズデータ入力!$AA$8:$AB$25,2,FALSE)</f>
        <v/>
      </c>
      <c r="F45" s="219">
        <f>VLOOKUP(F44,オッズデータ入力!$AA$8:$AB$25,2,FALSE)</f>
        <v/>
      </c>
      <c r="G45" s="219">
        <f>VLOOKUP(G44,オッズデータ入力!$AA$8:$AB$25,2,FALSE)</f>
        <v/>
      </c>
      <c r="H45" s="219">
        <f>VLOOKUP(H44,オッズデータ入力!$AA$8:$AB$25,2,FALSE)</f>
        <v/>
      </c>
      <c r="I45" s="219">
        <f>VLOOKUP(I44,オッズデータ入力!$AA$8:$AB$25,2,FALSE)</f>
        <v/>
      </c>
      <c r="J45" s="219">
        <f>VLOOKUP(J44,オッズデータ入力!$AA$8:$AB$25,2,FALSE)</f>
        <v/>
      </c>
      <c r="K45" s="219">
        <f>VLOOKUP(K44,オッズデータ入力!$AA$8:$AB$25,2,FALSE)</f>
        <v/>
      </c>
      <c r="L45" s="219">
        <f>VLOOKUP(L44,オッズデータ入力!$AA$8:$AB$25,2,FALSE)</f>
        <v/>
      </c>
      <c r="N45" s="219">
        <f>VLOOKUP(N44,オッズデータ入力!$AA$8:$AB$25,2,FALSE)</f>
        <v/>
      </c>
      <c r="P45" s="219">
        <f>VLOOKUP(P44,オッズデータ入力!$AA$8:$AB$25,2,FALSE)</f>
        <v/>
      </c>
      <c r="Q45" s="219">
        <f>VLOOKUP(Q44,オッズデータ入力!$AA$8:$AB$25,2,FALSE)</f>
        <v/>
      </c>
    </row>
    <row r="46">
      <c r="D46" s="115" t="n"/>
      <c r="I46" s="115" t="n"/>
    </row>
    <row r="47">
      <c r="D47" s="115" t="n"/>
      <c r="I47" s="115" t="n"/>
    </row>
    <row r="48">
      <c r="D48" s="115" t="n"/>
      <c r="I48" s="115" t="n"/>
    </row>
  </sheetData>
  <mergeCells count="1">
    <mergeCell ref="A1:C1"/>
  </mergeCells>
  <pageMargins left="0.7086614173228347" right="0.7086614173228347" top="0.7480314960629921" bottom="0.7480314960629921" header="0.3149606299212598" footer="0.3149606299212598"/>
  <pageSetup orientation="portrait" paperSize="9" scale="59" horizontalDpi="4294967293" verticalDpi="0"/>
</worksheet>
</file>

<file path=xl/worksheets/sheet9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Q48"/>
  <sheetViews>
    <sheetView workbookViewId="0">
      <selection activeCell="G6" sqref="G6"/>
    </sheetView>
  </sheetViews>
  <sheetFormatPr baseColWidth="8" defaultRowHeight="18.75"/>
  <cols>
    <col width="28.875" customWidth="1" style="354" min="1" max="1"/>
    <col width="6.625" customWidth="1" min="2" max="20"/>
  </cols>
  <sheetData>
    <row r="1" ht="27.75" customHeight="1" thickBot="1">
      <c r="A1" s="356" t="inlineStr">
        <is>
          <t xml:space="preserve">WIN４ 3連単フォーメーション </t>
        </is>
      </c>
      <c r="B1" s="442" t="n"/>
      <c r="C1" s="443" t="n"/>
    </row>
    <row r="2" customFormat="1" s="1">
      <c r="A2" s="354" t="n"/>
      <c r="B2" s="1" t="inlineStr">
        <is>
          <t>◎</t>
        </is>
      </c>
      <c r="D2" s="1" t="inlineStr">
        <is>
          <t>〇</t>
        </is>
      </c>
      <c r="E2" s="1" t="inlineStr">
        <is>
          <t>▲</t>
        </is>
      </c>
      <c r="G2" s="1" t="inlineStr">
        <is>
          <t>〇</t>
        </is>
      </c>
      <c r="H2" s="1" t="inlineStr">
        <is>
          <t>▲</t>
        </is>
      </c>
      <c r="I2" s="1" t="inlineStr">
        <is>
          <t>△</t>
        </is>
      </c>
      <c r="J2" s="1" t="inlineStr">
        <is>
          <t>★</t>
        </is>
      </c>
      <c r="K2" s="1" t="inlineStr">
        <is>
          <t>☆</t>
        </is>
      </c>
      <c r="L2" s="1" t="inlineStr">
        <is>
          <t>◆</t>
        </is>
      </c>
    </row>
    <row r="3" customFormat="1" s="521">
      <c r="A3" s="522" t="inlineStr">
        <is>
          <t>①　1-2-6（10点）</t>
        </is>
      </c>
      <c r="B3" s="520" t="n">
        <v>1</v>
      </c>
      <c r="C3" s="523" t="inlineStr">
        <is>
          <t>〉〉〉</t>
        </is>
      </c>
      <c r="D3" s="520" t="n">
        <v>2</v>
      </c>
      <c r="E3" s="520" t="n">
        <v>3</v>
      </c>
      <c r="F3" s="523" t="inlineStr">
        <is>
          <t>〉〉〉</t>
        </is>
      </c>
      <c r="G3" s="520" t="n">
        <v>2</v>
      </c>
      <c r="H3" s="520" t="n">
        <v>3</v>
      </c>
      <c r="I3" s="520" t="n">
        <v>4</v>
      </c>
      <c r="J3" s="520" t="n">
        <v>5</v>
      </c>
      <c r="K3" s="520" t="n">
        <v>6</v>
      </c>
      <c r="L3" s="520" t="n">
        <v>7</v>
      </c>
      <c r="M3" s="522" t="n"/>
    </row>
    <row r="4" customFormat="1" s="1">
      <c r="A4" s="115" t="n"/>
      <c r="B4" s="219">
        <f>VLOOKUP(B3,オッズデータ入力!$AM$8:$AN$25,2,FALSE)</f>
        <v/>
      </c>
      <c r="C4" s="353" t="n"/>
      <c r="D4" s="219">
        <f>VLOOKUP(D3,オッズデータ入力!$AM$8:$AN$25,2,FALSE)</f>
        <v/>
      </c>
      <c r="E4" s="219">
        <f>VLOOKUP(E3,オッズデータ入力!$AM$8:$AN$25,2,FALSE)</f>
        <v/>
      </c>
      <c r="G4" s="219">
        <f>VLOOKUP(G3,オッズデータ入力!$AM$8:$AN$25,2,FALSE)</f>
        <v/>
      </c>
      <c r="H4" s="219">
        <f>VLOOKUP(H3,オッズデータ入力!$AM$8:$AN$25,2,FALSE)</f>
        <v/>
      </c>
      <c r="I4" s="219">
        <f>VLOOKUP(I3,オッズデータ入力!$AM$8:$AN$25,2,FALSE)</f>
        <v/>
      </c>
      <c r="J4" s="219">
        <f>VLOOKUP(J3,オッズデータ入力!$AM$8:$AN$25,2,FALSE)</f>
        <v/>
      </c>
      <c r="K4" s="219">
        <f>VLOOKUP(K3,オッズデータ入力!$AM$8:$AN$25,2,FALSE)</f>
        <v/>
      </c>
      <c r="L4" s="219">
        <f>VLOOKUP(L3,オッズデータ入力!$AM$8:$AN$25,2,FALSE)</f>
        <v/>
      </c>
    </row>
    <row r="5">
      <c r="A5" s="115" t="n"/>
      <c r="B5" t="inlineStr">
        <is>
          <t>※　１着に自信あり、２着候補も絞れている場合（２着に中穴を入れておく）</t>
        </is>
      </c>
    </row>
    <row r="6" ht="37.5" customHeight="1">
      <c r="A6" s="115" t="n"/>
    </row>
    <row r="7">
      <c r="A7" s="115" t="n"/>
      <c r="B7" s="1" t="inlineStr">
        <is>
          <t>◎</t>
        </is>
      </c>
      <c r="C7" s="1" t="n"/>
      <c r="D7" s="1" t="inlineStr">
        <is>
          <t>〇</t>
        </is>
      </c>
      <c r="E7" s="1" t="inlineStr">
        <is>
          <t>▲</t>
        </is>
      </c>
      <c r="F7" s="1" t="inlineStr">
        <is>
          <t>△</t>
        </is>
      </c>
      <c r="H7" s="1" t="inlineStr">
        <is>
          <t>〇</t>
        </is>
      </c>
      <c r="I7" s="1" t="inlineStr">
        <is>
          <t>▲</t>
        </is>
      </c>
      <c r="J7" s="1" t="inlineStr">
        <is>
          <t>△</t>
        </is>
      </c>
      <c r="K7" s="1" t="inlineStr">
        <is>
          <t>★</t>
        </is>
      </c>
      <c r="L7" s="1" t="inlineStr">
        <is>
          <t>☆</t>
        </is>
      </c>
      <c r="M7" s="1" t="inlineStr">
        <is>
          <t>◆</t>
        </is>
      </c>
      <c r="N7" s="1" t="inlineStr">
        <is>
          <t>◇</t>
        </is>
      </c>
    </row>
    <row r="8">
      <c r="A8" s="115" t="inlineStr">
        <is>
          <t>②　1-3-7（18点）</t>
        </is>
      </c>
      <c r="B8" s="520" t="n">
        <v>1</v>
      </c>
      <c r="C8" s="523" t="inlineStr">
        <is>
          <t>〉〉〉</t>
        </is>
      </c>
      <c r="D8" s="520" t="n">
        <v>2</v>
      </c>
      <c r="E8" s="520" t="n">
        <v>3</v>
      </c>
      <c r="F8" s="520" t="n">
        <v>4</v>
      </c>
      <c r="G8" s="523" t="inlineStr">
        <is>
          <t>〉〉〉</t>
        </is>
      </c>
      <c r="H8" s="520" t="n">
        <v>2</v>
      </c>
      <c r="I8" s="520" t="n">
        <v>3</v>
      </c>
      <c r="J8" s="520" t="n">
        <v>4</v>
      </c>
      <c r="K8" s="520" t="n">
        <v>5</v>
      </c>
      <c r="L8" s="520" t="n">
        <v>6</v>
      </c>
      <c r="M8" s="520" t="n">
        <v>7</v>
      </c>
      <c r="N8" s="520" t="n">
        <v>8</v>
      </c>
    </row>
    <row r="9">
      <c r="B9" s="219">
        <f>VLOOKUP(B8,オッズデータ入力!$AM$8:$AN$25,2,FALSE)</f>
        <v/>
      </c>
      <c r="C9" s="353" t="n"/>
      <c r="D9" s="219">
        <f>VLOOKUP(D8,オッズデータ入力!$AM$8:$AN$25,2,FALSE)</f>
        <v/>
      </c>
      <c r="E9" s="219">
        <f>VLOOKUP(E8,オッズデータ入力!$AM$8:$AN$25,2,FALSE)</f>
        <v/>
      </c>
      <c r="F9" s="219">
        <f>VLOOKUP(F8,オッズデータ入力!$AM$8:$AN$25,2,FALSE)</f>
        <v/>
      </c>
      <c r="H9" s="219">
        <f>VLOOKUP(H8,オッズデータ入力!$AM$8:$AN$25,2,FALSE)</f>
        <v/>
      </c>
      <c r="I9" s="219">
        <f>VLOOKUP(I8,オッズデータ入力!$AM$8:$AN$25,2,FALSE)</f>
        <v/>
      </c>
      <c r="J9" s="219">
        <f>VLOOKUP(J8,オッズデータ入力!$AM$8:$AN$25,2,FALSE)</f>
        <v/>
      </c>
      <c r="K9" s="219">
        <f>VLOOKUP(K8,オッズデータ入力!$AM$8:$AN$25,2,FALSE)</f>
        <v/>
      </c>
      <c r="L9" s="219">
        <f>VLOOKUP(L8,オッズデータ入力!$AM$8:$AN$25,2,FALSE)</f>
        <v/>
      </c>
      <c r="M9" s="219">
        <f>VLOOKUP(M8,オッズデータ入力!$AM$8:$AN$25,2,FALSE)</f>
        <v/>
      </c>
      <c r="N9" s="219">
        <f>VLOOKUP(N8,オッズデータ入力!$AM$8:$AN$25,2,FALSE)</f>
        <v/>
      </c>
    </row>
    <row r="10">
      <c r="B10" t="inlineStr">
        <is>
          <t>※　2着候補を3頭まで増やせる買い方（3着候補を7頭まで選べる）</t>
        </is>
      </c>
    </row>
    <row r="11" ht="37.5" customHeight="1"/>
    <row r="12">
      <c r="A12" s="354" t="inlineStr">
        <is>
          <t>③　2-2-5（10点）</t>
        </is>
      </c>
      <c r="B12" s="1" t="inlineStr">
        <is>
          <t>◎</t>
        </is>
      </c>
      <c r="C12" s="1" t="inlineStr">
        <is>
          <t>〇</t>
        </is>
      </c>
      <c r="E12" s="1" t="inlineStr">
        <is>
          <t>◎</t>
        </is>
      </c>
      <c r="F12" s="1" t="inlineStr">
        <is>
          <t>〇</t>
        </is>
      </c>
      <c r="H12" s="1" t="inlineStr">
        <is>
          <t>▲</t>
        </is>
      </c>
      <c r="I12" s="1" t="inlineStr">
        <is>
          <t>△</t>
        </is>
      </c>
      <c r="J12" s="1" t="inlineStr">
        <is>
          <t>★</t>
        </is>
      </c>
      <c r="K12" s="1" t="inlineStr">
        <is>
          <t>☆</t>
        </is>
      </c>
      <c r="L12" s="1" t="inlineStr">
        <is>
          <t>◆</t>
        </is>
      </c>
    </row>
    <row r="13">
      <c r="B13" s="520" t="n">
        <v>1</v>
      </c>
      <c r="C13" s="520" t="n">
        <v>2</v>
      </c>
      <c r="D13" s="523" t="inlineStr">
        <is>
          <t>〉〉〉</t>
        </is>
      </c>
      <c r="E13" s="520" t="n">
        <v>1</v>
      </c>
      <c r="F13" s="520" t="n">
        <v>2</v>
      </c>
      <c r="G13" s="523" t="inlineStr">
        <is>
          <t>〉〉〉</t>
        </is>
      </c>
      <c r="H13" s="520" t="n">
        <v>3</v>
      </c>
      <c r="I13" s="520" t="n">
        <v>4</v>
      </c>
      <c r="J13" s="520" t="n">
        <v>5</v>
      </c>
      <c r="K13" s="520" t="n">
        <v>6</v>
      </c>
      <c r="L13" s="520" t="n">
        <v>7</v>
      </c>
    </row>
    <row r="14">
      <c r="B14" s="219">
        <f>VLOOKUP(B13,オッズデータ入力!$AM$8:$AN$25,2,FALSE)</f>
        <v/>
      </c>
      <c r="C14" s="219">
        <f>VLOOKUP(C13,オッズデータ入力!$AM$8:$AN$25,2,FALSE)</f>
        <v/>
      </c>
      <c r="D14" s="353" t="n"/>
      <c r="E14" s="219">
        <f>VLOOKUP(E13,オッズデータ入力!$AM$8:$AN$25,2,FALSE)</f>
        <v/>
      </c>
      <c r="F14" s="219">
        <f>VLOOKUP(F13,オッズデータ入力!$AM$8:$AN$25,2,FALSE)</f>
        <v/>
      </c>
      <c r="G14" s="353" t="n"/>
      <c r="H14" s="219">
        <f>VLOOKUP(H13,オッズデータ入力!$AM$8:$AN$25,2,FALSE)</f>
        <v/>
      </c>
      <c r="I14" s="219">
        <f>VLOOKUP(I13,オッズデータ入力!$AM$8:$AN$25,2,FALSE)</f>
        <v/>
      </c>
      <c r="J14" s="219">
        <f>VLOOKUP(J13,オッズデータ入力!$AM$8:$AN$25,2,FALSE)</f>
        <v/>
      </c>
      <c r="K14" s="219">
        <f>VLOOKUP(K13,オッズデータ入力!$AM$8:$AN$25,2,FALSE)</f>
        <v/>
      </c>
      <c r="L14" s="219">
        <f>VLOOKUP(L13,オッズデータ入力!$AM$8:$AN$25,2,FALSE)</f>
        <v/>
      </c>
    </row>
    <row r="15">
      <c r="B15" s="258" t="inlineStr">
        <is>
          <t>※　2頭が抜けていると判断した時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37.5" customHeight="1"/>
    <row r="17">
      <c r="A17" s="354" t="inlineStr">
        <is>
          <t>④　2-4-6（24点）</t>
        </is>
      </c>
      <c r="B17" s="1" t="inlineStr">
        <is>
          <t>◎</t>
        </is>
      </c>
      <c r="C17" s="1" t="inlineStr">
        <is>
          <t>〇</t>
        </is>
      </c>
      <c r="E17" s="1" t="inlineStr">
        <is>
          <t>◎</t>
        </is>
      </c>
      <c r="F17" s="1" t="inlineStr">
        <is>
          <t>〇</t>
        </is>
      </c>
      <c r="G17" s="1" t="inlineStr">
        <is>
          <t>▲</t>
        </is>
      </c>
      <c r="H17" s="1" t="inlineStr">
        <is>
          <t>△</t>
        </is>
      </c>
      <c r="J17" s="1" t="inlineStr">
        <is>
          <t>◎</t>
        </is>
      </c>
      <c r="K17" s="1" t="inlineStr">
        <is>
          <t>〇</t>
        </is>
      </c>
      <c r="L17" s="1" t="inlineStr">
        <is>
          <t>▲</t>
        </is>
      </c>
      <c r="M17" s="1" t="inlineStr">
        <is>
          <t>△</t>
        </is>
      </c>
      <c r="N17" s="1" t="inlineStr">
        <is>
          <t>★</t>
        </is>
      </c>
      <c r="O17" s="1" t="inlineStr">
        <is>
          <t>☆</t>
        </is>
      </c>
    </row>
    <row r="18">
      <c r="B18" s="520" t="n">
        <v>1</v>
      </c>
      <c r="C18" s="520" t="n">
        <v>2</v>
      </c>
      <c r="D18" s="523" t="inlineStr">
        <is>
          <t>〉〉〉</t>
        </is>
      </c>
      <c r="E18" s="520" t="n">
        <v>1</v>
      </c>
      <c r="F18" s="520" t="n">
        <v>2</v>
      </c>
      <c r="G18" s="520" t="n">
        <v>3</v>
      </c>
      <c r="H18" s="520" t="n">
        <v>4</v>
      </c>
      <c r="I18" s="523" t="inlineStr">
        <is>
          <t>〉〉〉</t>
        </is>
      </c>
      <c r="J18" s="520" t="n">
        <v>1</v>
      </c>
      <c r="K18" s="520" t="n">
        <v>2</v>
      </c>
      <c r="L18" s="520" t="n">
        <v>3</v>
      </c>
      <c r="M18" s="520" t="n">
        <v>4</v>
      </c>
      <c r="N18" s="520" t="n">
        <v>5</v>
      </c>
      <c r="O18" s="520" t="n">
        <v>6</v>
      </c>
    </row>
    <row r="19">
      <c r="B19" s="219">
        <f>VLOOKUP(B18,オッズデータ入力!$AM$8:$AN$25,2,FALSE)</f>
        <v/>
      </c>
      <c r="C19" s="219">
        <f>VLOOKUP(C18,オッズデータ入力!$AM$8:$AN$25,2,FALSE)</f>
        <v/>
      </c>
      <c r="D19" s="353" t="n"/>
      <c r="E19" s="219">
        <f>VLOOKUP(E18,オッズデータ入力!$AM$8:$AN$25,2,FALSE)</f>
        <v/>
      </c>
      <c r="F19" s="219">
        <f>VLOOKUP(F18,オッズデータ入力!$AM$8:$AN$25,2,FALSE)</f>
        <v/>
      </c>
      <c r="G19" s="219">
        <f>VLOOKUP(G18,オッズデータ入力!$AM$8:$AN$25,2,FALSE)</f>
        <v/>
      </c>
      <c r="H19" s="219">
        <f>VLOOKUP(H18,オッズデータ入力!$AM$8:$AN$25,2,FALSE)</f>
        <v/>
      </c>
      <c r="I19" s="353" t="n"/>
      <c r="J19" s="219">
        <f>VLOOKUP(J18,オッズデータ入力!$AM$8:$AN$25,2,FALSE)</f>
        <v/>
      </c>
      <c r="K19" s="219">
        <f>VLOOKUP(K18,オッズデータ入力!$AM$8:$AN$25,2,FALSE)</f>
        <v/>
      </c>
      <c r="L19" s="219">
        <f>VLOOKUP(L18,オッズデータ入力!$AM$8:$AN$25,2,FALSE)</f>
        <v/>
      </c>
      <c r="M19" s="219">
        <f>VLOOKUP(M18,オッズデータ入力!$AM$8:$AN$25,2,FALSE)</f>
        <v/>
      </c>
      <c r="N19" s="219">
        <f>VLOOKUP(N18,オッズデータ入力!$AM$8:$AN$25,2,FALSE)</f>
        <v/>
      </c>
      <c r="O19" s="219">
        <f>VLOOKUP(O18,オッズデータ入力!$AM$8:$AN$25,2,FALSE)</f>
        <v/>
      </c>
    </row>
    <row r="20">
      <c r="B20" t="inlineStr">
        <is>
          <t>※　2着候補を4頭まで選べる</t>
        </is>
      </c>
      <c r="D20" s="115" t="n"/>
      <c r="I20" s="115" t="n"/>
    </row>
    <row r="21" ht="36.75" customHeight="1" thickBot="1">
      <c r="D21" s="115" t="n"/>
      <c r="I21" s="115" t="n"/>
    </row>
    <row r="22" ht="23.25" customHeight="1" thickBot="1">
      <c r="A22" s="356" t="inlineStr">
        <is>
          <t>ジャイさんの買い方</t>
        </is>
      </c>
      <c r="D22" s="115" t="n"/>
      <c r="I22" s="115" t="n"/>
    </row>
    <row r="23">
      <c r="B23" s="1" t="inlineStr">
        <is>
          <t>◎</t>
        </is>
      </c>
      <c r="D23" s="1" t="inlineStr">
        <is>
          <t>〇</t>
        </is>
      </c>
      <c r="E23" s="1" t="inlineStr">
        <is>
          <t>▲</t>
        </is>
      </c>
      <c r="G23" s="1" t="inlineStr">
        <is>
          <t>△</t>
        </is>
      </c>
      <c r="H23" s="1" t="inlineStr">
        <is>
          <t>△</t>
        </is>
      </c>
      <c r="I23" s="1" t="inlineStr">
        <is>
          <t>△</t>
        </is>
      </c>
      <c r="J23" s="1" t="inlineStr">
        <is>
          <t>△</t>
        </is>
      </c>
      <c r="K23" s="1" t="inlineStr">
        <is>
          <t>△</t>
        </is>
      </c>
      <c r="L23" s="1" t="inlineStr">
        <is>
          <t>△</t>
        </is>
      </c>
      <c r="M23" s="1" t="inlineStr">
        <is>
          <t>△</t>
        </is>
      </c>
      <c r="N23" s="1" t="inlineStr">
        <is>
          <t>△</t>
        </is>
      </c>
      <c r="O23" s="1" t="inlineStr">
        <is>
          <t>△</t>
        </is>
      </c>
      <c r="P23" s="1" t="inlineStr">
        <is>
          <t>△</t>
        </is>
      </c>
      <c r="Q23" s="1" t="inlineStr">
        <is>
          <t>△</t>
        </is>
      </c>
    </row>
    <row r="24">
      <c r="A24" s="354" t="inlineStr">
        <is>
          <t>①　1-2-11（22点）</t>
        </is>
      </c>
      <c r="B24" s="520" t="n">
        <v>1</v>
      </c>
      <c r="C24" s="523" t="inlineStr">
        <is>
          <t>〉〉〉</t>
        </is>
      </c>
      <c r="D24" s="520" t="n">
        <v>2</v>
      </c>
      <c r="E24" s="520" t="n">
        <v>3</v>
      </c>
      <c r="F24" s="523" t="inlineStr">
        <is>
          <t>〉〉〉</t>
        </is>
      </c>
      <c r="G24" s="520" t="n">
        <v>4</v>
      </c>
      <c r="H24" s="520" t="n">
        <v>5</v>
      </c>
      <c r="I24" s="520" t="n">
        <v>6</v>
      </c>
      <c r="J24" s="520" t="n">
        <v>7</v>
      </c>
      <c r="K24" s="520" t="n">
        <v>8</v>
      </c>
      <c r="L24" s="520" t="n">
        <v>9</v>
      </c>
      <c r="M24" s="520" t="n">
        <v>10</v>
      </c>
      <c r="N24" s="520" t="n">
        <v>11</v>
      </c>
      <c r="O24" s="520" t="n">
        <v>12</v>
      </c>
      <c r="P24" s="520" t="n">
        <v>13</v>
      </c>
      <c r="Q24" s="520" t="n">
        <v>14</v>
      </c>
    </row>
    <row r="25">
      <c r="B25" s="219">
        <f>VLOOKUP(B24,オッズデータ入力!$AM$8:$AN$25,2,FALSE)</f>
        <v/>
      </c>
      <c r="D25" s="219">
        <f>VLOOKUP(D24,オッズデータ入力!$AM$8:$AN$25,2,FALSE)</f>
        <v/>
      </c>
      <c r="E25" s="219">
        <f>VLOOKUP(E24,オッズデータ入力!$AM$8:$AN$25,2,FALSE)</f>
        <v/>
      </c>
      <c r="G25" s="219">
        <f>VLOOKUP(G24,オッズデータ入力!$AM$8:$AN$25,2,FALSE)</f>
        <v/>
      </c>
      <c r="H25" s="219">
        <f>VLOOKUP(H24,オッズデータ入力!$AM$8:$AN$25,2,FALSE)</f>
        <v/>
      </c>
      <c r="I25" s="219">
        <f>VLOOKUP(I24,オッズデータ入力!$AM$8:$AN$25,2,FALSE)</f>
        <v/>
      </c>
      <c r="J25" s="219">
        <f>VLOOKUP(J24,オッズデータ入力!$AM$8:$AN$25,2,FALSE)</f>
        <v/>
      </c>
      <c r="K25" s="219">
        <f>VLOOKUP(K24,オッズデータ入力!$AM$8:$AN$25,2,FALSE)</f>
        <v/>
      </c>
      <c r="L25" s="219">
        <f>VLOOKUP(L24,オッズデータ入力!$AM$8:$AN$25,2,FALSE)</f>
        <v/>
      </c>
      <c r="M25" s="219">
        <f>VLOOKUP(M24,オッズデータ入力!$AM$8:$AN$25,2,FALSE)</f>
        <v/>
      </c>
      <c r="N25" s="219">
        <f>VLOOKUP(N24,オッズデータ入力!$AM$8:$AN$25,2,FALSE)</f>
        <v/>
      </c>
      <c r="O25" s="219">
        <f>VLOOKUP(O24,オッズデータ入力!$AM$8:$AN$25,2,FALSE)</f>
        <v/>
      </c>
      <c r="P25" s="219">
        <f>VLOOKUP(P24,オッズデータ入力!$AM$8:$AN$25,2,FALSE)</f>
        <v/>
      </c>
      <c r="Q25" s="219">
        <f>VLOOKUP(Q24,オッズデータ入力!$AM$8:$AN$25,2,FALSE)</f>
        <v/>
      </c>
    </row>
    <row r="26">
      <c r="D26" s="115" t="n"/>
      <c r="I26" s="115" t="n"/>
    </row>
    <row r="27">
      <c r="B27" s="1" t="inlineStr">
        <is>
          <t>◎</t>
        </is>
      </c>
      <c r="D27" s="1" t="inlineStr">
        <is>
          <t>△</t>
        </is>
      </c>
      <c r="E27" s="1" t="inlineStr">
        <is>
          <t>△</t>
        </is>
      </c>
      <c r="F27" s="1" t="inlineStr">
        <is>
          <t>△</t>
        </is>
      </c>
      <c r="G27" s="1" t="inlineStr">
        <is>
          <t>△</t>
        </is>
      </c>
      <c r="H27" s="1" t="inlineStr">
        <is>
          <t>△</t>
        </is>
      </c>
      <c r="I27" s="1" t="inlineStr">
        <is>
          <t>△</t>
        </is>
      </c>
      <c r="J27" s="1" t="inlineStr">
        <is>
          <t>△</t>
        </is>
      </c>
      <c r="K27" s="1" t="inlineStr">
        <is>
          <t>△</t>
        </is>
      </c>
      <c r="L27" s="1" t="inlineStr">
        <is>
          <t>△</t>
        </is>
      </c>
      <c r="M27" s="1" t="inlineStr">
        <is>
          <t>△</t>
        </is>
      </c>
      <c r="N27" s="1" t="inlineStr">
        <is>
          <t>△</t>
        </is>
      </c>
      <c r="P27" s="1" t="inlineStr">
        <is>
          <t>〇</t>
        </is>
      </c>
      <c r="Q27" s="1" t="inlineStr">
        <is>
          <t>▲</t>
        </is>
      </c>
    </row>
    <row r="28">
      <c r="A28" s="354" t="inlineStr">
        <is>
          <t>②　1-11-2（22点）</t>
        </is>
      </c>
      <c r="B28" s="520" t="n">
        <v>1</v>
      </c>
      <c r="C28" s="523" t="inlineStr">
        <is>
          <t>〉〉〉</t>
        </is>
      </c>
      <c r="D28" s="520" t="n">
        <v>4</v>
      </c>
      <c r="E28" s="520" t="n">
        <v>5</v>
      </c>
      <c r="F28" s="520" t="n">
        <v>6</v>
      </c>
      <c r="G28" s="520" t="n">
        <v>7</v>
      </c>
      <c r="H28" s="520" t="n">
        <v>8</v>
      </c>
      <c r="I28" s="520" t="n">
        <v>9</v>
      </c>
      <c r="J28" s="520" t="n">
        <v>10</v>
      </c>
      <c r="K28" s="520" t="n">
        <v>11</v>
      </c>
      <c r="L28" s="520" t="n">
        <v>12</v>
      </c>
      <c r="M28" s="520" t="n">
        <v>13</v>
      </c>
      <c r="N28" s="520" t="n">
        <v>14</v>
      </c>
      <c r="O28" s="523" t="inlineStr">
        <is>
          <t>〉〉〉</t>
        </is>
      </c>
      <c r="P28" s="520" t="n">
        <v>2</v>
      </c>
      <c r="Q28" s="520" t="n">
        <v>3</v>
      </c>
    </row>
    <row r="29">
      <c r="B29" s="219">
        <f>VLOOKUP(B28,オッズデータ入力!$AM$8:$AN$25,2,FALSE)</f>
        <v/>
      </c>
      <c r="D29" s="219">
        <f>VLOOKUP(D28,オッズデータ入力!$AM$8:$AN$25,2,FALSE)</f>
        <v/>
      </c>
      <c r="E29" s="219">
        <f>VLOOKUP(E28,オッズデータ入力!$AM$8:$AN$25,2,FALSE)</f>
        <v/>
      </c>
      <c r="F29" s="219">
        <f>VLOOKUP(F28,オッズデータ入力!$AM$8:$AN$25,2,FALSE)</f>
        <v/>
      </c>
      <c r="G29" s="219">
        <f>VLOOKUP(G28,オッズデータ入力!$AM$8:$AN$25,2,FALSE)</f>
        <v/>
      </c>
      <c r="H29" s="219">
        <f>VLOOKUP(H28,オッズデータ入力!$AM$8:$AN$25,2,FALSE)</f>
        <v/>
      </c>
      <c r="I29" s="219">
        <f>VLOOKUP(I28,オッズデータ入力!$AM$8:$AN$25,2,FALSE)</f>
        <v/>
      </c>
      <c r="J29" s="219">
        <f>VLOOKUP(J28,オッズデータ入力!$AM$8:$AN$25,2,FALSE)</f>
        <v/>
      </c>
      <c r="K29" s="219">
        <f>VLOOKUP(K28,オッズデータ入力!$AM$8:$AN$25,2,FALSE)</f>
        <v/>
      </c>
      <c r="L29" s="219">
        <f>VLOOKUP(L28,オッズデータ入力!$AM$8:$AN$25,2,FALSE)</f>
        <v/>
      </c>
      <c r="M29" s="219">
        <f>VLOOKUP(M28,オッズデータ入力!$AM$8:$AN$25,2,FALSE)</f>
        <v/>
      </c>
      <c r="N29" s="219">
        <f>VLOOKUP(N28,オッズデータ入力!$AM$8:$AN$25,2,FALSE)</f>
        <v/>
      </c>
      <c r="P29" s="219">
        <f>VLOOKUP(P28,オッズデータ入力!$AM$8:$AN$25,2,FALSE)</f>
        <v/>
      </c>
      <c r="Q29" s="219">
        <f>VLOOKUP(Q28,オッズデータ入力!$AM$8:$AN$25,2,FALSE)</f>
        <v/>
      </c>
    </row>
    <row r="30">
      <c r="D30" s="115" t="n"/>
      <c r="I30" s="115" t="n"/>
    </row>
    <row r="31">
      <c r="B31" s="1" t="inlineStr">
        <is>
          <t>〇</t>
        </is>
      </c>
      <c r="C31" s="1" t="inlineStr">
        <is>
          <t>▲</t>
        </is>
      </c>
      <c r="E31" s="1" t="inlineStr">
        <is>
          <t>◎</t>
        </is>
      </c>
      <c r="G31" s="1" t="inlineStr">
        <is>
          <t>△</t>
        </is>
      </c>
      <c r="H31" s="1" t="inlineStr">
        <is>
          <t>△</t>
        </is>
      </c>
      <c r="I31" s="1" t="inlineStr">
        <is>
          <t>△</t>
        </is>
      </c>
      <c r="J31" s="1" t="inlineStr">
        <is>
          <t>△</t>
        </is>
      </c>
      <c r="K31" s="1" t="inlineStr">
        <is>
          <t>△</t>
        </is>
      </c>
      <c r="L31" s="1" t="inlineStr">
        <is>
          <t>△</t>
        </is>
      </c>
      <c r="M31" s="1" t="inlineStr">
        <is>
          <t>△</t>
        </is>
      </c>
      <c r="N31" s="1" t="inlineStr">
        <is>
          <t>△</t>
        </is>
      </c>
      <c r="O31" s="1" t="inlineStr">
        <is>
          <t>△</t>
        </is>
      </c>
      <c r="P31" s="1" t="inlineStr">
        <is>
          <t>△</t>
        </is>
      </c>
      <c r="Q31" s="1" t="inlineStr">
        <is>
          <t>△</t>
        </is>
      </c>
    </row>
    <row r="32">
      <c r="A32" s="354" t="inlineStr">
        <is>
          <t>③　2-1-11（22点）</t>
        </is>
      </c>
      <c r="B32" s="520" t="n">
        <v>2</v>
      </c>
      <c r="C32" s="520" t="n">
        <v>3</v>
      </c>
      <c r="D32" s="523" t="inlineStr">
        <is>
          <t>〉〉〉</t>
        </is>
      </c>
      <c r="E32" s="520" t="n">
        <v>1</v>
      </c>
      <c r="F32" s="523" t="inlineStr">
        <is>
          <t>〉〉〉</t>
        </is>
      </c>
      <c r="G32" s="520" t="n">
        <v>4</v>
      </c>
      <c r="H32" s="520" t="n">
        <v>5</v>
      </c>
      <c r="I32" s="520" t="n">
        <v>6</v>
      </c>
      <c r="J32" s="520" t="n">
        <v>7</v>
      </c>
      <c r="K32" s="520" t="n">
        <v>8</v>
      </c>
      <c r="L32" s="520" t="n">
        <v>9</v>
      </c>
      <c r="M32" s="520" t="n">
        <v>10</v>
      </c>
      <c r="N32" s="520" t="n">
        <v>11</v>
      </c>
      <c r="O32" s="520" t="n">
        <v>12</v>
      </c>
      <c r="P32" s="520" t="n">
        <v>13</v>
      </c>
      <c r="Q32" s="520" t="n">
        <v>14</v>
      </c>
    </row>
    <row r="33">
      <c r="B33" s="219">
        <f>VLOOKUP(B32,オッズデータ入力!$AM$8:$AN$25,2,FALSE)</f>
        <v/>
      </c>
      <c r="C33" s="219">
        <f>VLOOKUP(C32,オッズデータ入力!$AM$8:$AN$25,2,FALSE)</f>
        <v/>
      </c>
      <c r="E33" s="219">
        <f>VLOOKUP(E32,オッズデータ入力!$AM$8:$AN$25,2,FALSE)</f>
        <v/>
      </c>
      <c r="G33" s="219">
        <f>VLOOKUP(G32,オッズデータ入力!$AM$8:$AN$25,2,FALSE)</f>
        <v/>
      </c>
      <c r="H33" s="219">
        <f>VLOOKUP(H32,オッズデータ入力!$AM$8:$AN$25,2,FALSE)</f>
        <v/>
      </c>
      <c r="I33" s="219">
        <f>VLOOKUP(I32,オッズデータ入力!$AM$8:$AN$25,2,FALSE)</f>
        <v/>
      </c>
      <c r="J33" s="219">
        <f>VLOOKUP(J32,オッズデータ入力!$AM$8:$AN$25,2,FALSE)</f>
        <v/>
      </c>
      <c r="K33" s="219">
        <f>VLOOKUP(K32,オッズデータ入力!$AM$8:$AN$25,2,FALSE)</f>
        <v/>
      </c>
      <c r="L33" s="219">
        <f>VLOOKUP(L32,オッズデータ入力!$AM$8:$AN$25,2,FALSE)</f>
        <v/>
      </c>
      <c r="M33" s="219">
        <f>VLOOKUP(M32,オッズデータ入力!$AM$8:$AN$25,2,FALSE)</f>
        <v/>
      </c>
      <c r="N33" s="219">
        <f>VLOOKUP(N32,オッズデータ入力!$AM$8:$AN$25,2,FALSE)</f>
        <v/>
      </c>
      <c r="O33" s="219">
        <f>VLOOKUP(O32,オッズデータ入力!$AM$8:$AN$25,2,FALSE)</f>
        <v/>
      </c>
      <c r="P33" s="219">
        <f>VLOOKUP(P32,オッズデータ入力!$AM$8:$AN$25,2,FALSE)</f>
        <v/>
      </c>
      <c r="Q33" s="219">
        <f>VLOOKUP(Q32,オッズデータ入力!$AM$8:$AN$25,2,FALSE)</f>
        <v/>
      </c>
    </row>
    <row r="34">
      <c r="B34" s="1" t="n"/>
      <c r="C34" s="1" t="n"/>
      <c r="E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B35" s="1" t="inlineStr">
        <is>
          <t>〇</t>
        </is>
      </c>
      <c r="C35" s="1" t="inlineStr">
        <is>
          <t>▲</t>
        </is>
      </c>
      <c r="E35" s="1" t="inlineStr">
        <is>
          <t>△</t>
        </is>
      </c>
      <c r="F35" s="1" t="inlineStr">
        <is>
          <t>△</t>
        </is>
      </c>
      <c r="G35" s="1" t="inlineStr">
        <is>
          <t>△</t>
        </is>
      </c>
      <c r="H35" s="1" t="inlineStr">
        <is>
          <t>△</t>
        </is>
      </c>
      <c r="I35" s="1" t="inlineStr">
        <is>
          <t>△</t>
        </is>
      </c>
      <c r="J35" s="1" t="inlineStr">
        <is>
          <t>△</t>
        </is>
      </c>
      <c r="K35" s="1" t="inlineStr">
        <is>
          <t>△</t>
        </is>
      </c>
      <c r="L35" s="1" t="inlineStr">
        <is>
          <t>△</t>
        </is>
      </c>
      <c r="M35" s="1" t="inlineStr">
        <is>
          <t>△</t>
        </is>
      </c>
      <c r="N35" s="1" t="inlineStr">
        <is>
          <t>△</t>
        </is>
      </c>
      <c r="O35" s="1" t="inlineStr">
        <is>
          <t>△</t>
        </is>
      </c>
      <c r="Q35" s="1" t="inlineStr">
        <is>
          <t>◎</t>
        </is>
      </c>
    </row>
    <row r="36">
      <c r="A36" s="354" t="inlineStr">
        <is>
          <t>④　2-11-1（22点）</t>
        </is>
      </c>
      <c r="B36" s="520" t="n">
        <v>2</v>
      </c>
      <c r="C36" s="520" t="n">
        <v>3</v>
      </c>
      <c r="D36" s="523" t="inlineStr">
        <is>
          <t>〉〉〉</t>
        </is>
      </c>
      <c r="E36" s="520" t="n">
        <v>4</v>
      </c>
      <c r="F36" s="520" t="n">
        <v>5</v>
      </c>
      <c r="G36" s="520" t="n">
        <v>6</v>
      </c>
      <c r="H36" s="520" t="n">
        <v>7</v>
      </c>
      <c r="I36" s="520" t="n">
        <v>8</v>
      </c>
      <c r="J36" s="520" t="n">
        <v>9</v>
      </c>
      <c r="K36" s="520" t="n">
        <v>10</v>
      </c>
      <c r="L36" s="520" t="n">
        <v>11</v>
      </c>
      <c r="M36" s="520" t="n">
        <v>12</v>
      </c>
      <c r="N36" s="520" t="n">
        <v>13</v>
      </c>
      <c r="O36" s="520" t="n">
        <v>14</v>
      </c>
      <c r="P36" s="523" t="inlineStr">
        <is>
          <t>〉〉〉</t>
        </is>
      </c>
      <c r="Q36" s="520" t="n">
        <v>1</v>
      </c>
    </row>
    <row r="37">
      <c r="B37" s="219">
        <f>VLOOKUP(B36,オッズデータ入力!$AM$8:$AN$25,2,FALSE)</f>
        <v/>
      </c>
      <c r="C37" s="219">
        <f>VLOOKUP(C36,オッズデータ入力!$AM$8:$AN$25,2,FALSE)</f>
        <v/>
      </c>
      <c r="E37" s="219">
        <f>VLOOKUP(E36,オッズデータ入力!$AM$8:$AN$25,2,FALSE)</f>
        <v/>
      </c>
      <c r="F37" s="219">
        <f>VLOOKUP(F36,オッズデータ入力!$AM$8:$AN$25,2,FALSE)</f>
        <v/>
      </c>
      <c r="G37" s="219">
        <f>VLOOKUP(G36,オッズデータ入力!$AM$8:$AN$25,2,FALSE)</f>
        <v/>
      </c>
      <c r="H37" s="219">
        <f>VLOOKUP(H36,オッズデータ入力!$AM$8:$AN$25,2,FALSE)</f>
        <v/>
      </c>
      <c r="I37" s="219">
        <f>VLOOKUP(I36,オッズデータ入力!$AM$8:$AN$25,2,FALSE)</f>
        <v/>
      </c>
      <c r="J37" s="219">
        <f>VLOOKUP(J36,オッズデータ入力!$AM$8:$AN$25,2,FALSE)</f>
        <v/>
      </c>
      <c r="K37" s="219">
        <f>VLOOKUP(K36,オッズデータ入力!$AM$8:$AN$25,2,FALSE)</f>
        <v/>
      </c>
      <c r="L37" s="219">
        <f>VLOOKUP(L36,オッズデータ入力!$AM$8:$AN$25,2,FALSE)</f>
        <v/>
      </c>
      <c r="M37" s="219">
        <f>VLOOKUP(M36,オッズデータ入力!$AM$8:$AN$25,2,FALSE)</f>
        <v/>
      </c>
      <c r="N37" s="219">
        <f>VLOOKUP(N36,オッズデータ入力!$AM$8:$AN$25,2,FALSE)</f>
        <v/>
      </c>
      <c r="O37" s="219">
        <f>VLOOKUP(O36,オッズデータ入力!$AM$8:$AN$25,2,FALSE)</f>
        <v/>
      </c>
      <c r="Q37" s="219">
        <f>VLOOKUP(Q36,オッズデータ入力!$AM$8:$AN$25,2,FALSE)</f>
        <v/>
      </c>
    </row>
    <row r="38">
      <c r="B38" s="1" t="n"/>
      <c r="C38" s="1" t="n"/>
      <c r="E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B39" s="1" t="inlineStr">
        <is>
          <t>△</t>
        </is>
      </c>
      <c r="C39" s="1" t="inlineStr">
        <is>
          <t>△</t>
        </is>
      </c>
      <c r="D39" s="1" t="inlineStr">
        <is>
          <t>△</t>
        </is>
      </c>
      <c r="E39" s="1" t="inlineStr">
        <is>
          <t>△</t>
        </is>
      </c>
      <c r="F39" s="1" t="inlineStr">
        <is>
          <t>△</t>
        </is>
      </c>
      <c r="G39" s="1" t="inlineStr">
        <is>
          <t>△</t>
        </is>
      </c>
      <c r="H39" s="1" t="inlineStr">
        <is>
          <t>△</t>
        </is>
      </c>
      <c r="I39" s="1" t="inlineStr">
        <is>
          <t>△</t>
        </is>
      </c>
      <c r="J39" s="1" t="inlineStr">
        <is>
          <t>△</t>
        </is>
      </c>
      <c r="K39" s="1" t="inlineStr">
        <is>
          <t>△</t>
        </is>
      </c>
      <c r="L39" s="1" t="inlineStr">
        <is>
          <t>△</t>
        </is>
      </c>
      <c r="N39" s="1" t="inlineStr">
        <is>
          <t>〇</t>
        </is>
      </c>
      <c r="O39" s="1" t="inlineStr">
        <is>
          <t>▲</t>
        </is>
      </c>
      <c r="Q39" s="1" t="inlineStr">
        <is>
          <t>◎</t>
        </is>
      </c>
    </row>
    <row r="40">
      <c r="A40" s="354" t="inlineStr">
        <is>
          <t>⑤　11-2-1（22点）</t>
        </is>
      </c>
      <c r="B40" s="520" t="n">
        <v>4</v>
      </c>
      <c r="C40" s="520" t="n">
        <v>5</v>
      </c>
      <c r="D40" s="520" t="n">
        <v>6</v>
      </c>
      <c r="E40" s="520" t="n">
        <v>7</v>
      </c>
      <c r="F40" s="520" t="n">
        <v>8</v>
      </c>
      <c r="G40" s="520" t="n">
        <v>9</v>
      </c>
      <c r="H40" s="520" t="n">
        <v>10</v>
      </c>
      <c r="I40" s="520" t="n">
        <v>11</v>
      </c>
      <c r="J40" s="520" t="n">
        <v>12</v>
      </c>
      <c r="K40" s="520" t="n">
        <v>13</v>
      </c>
      <c r="L40" s="520" t="n">
        <v>14</v>
      </c>
      <c r="M40" s="523" t="inlineStr">
        <is>
          <t>〉〉〉</t>
        </is>
      </c>
      <c r="N40" s="520" t="n">
        <v>2</v>
      </c>
      <c r="O40" s="520" t="n">
        <v>3</v>
      </c>
      <c r="P40" s="523" t="inlineStr">
        <is>
          <t>〉〉〉</t>
        </is>
      </c>
      <c r="Q40" s="520" t="n">
        <v>1</v>
      </c>
    </row>
    <row r="41">
      <c r="B41" s="219">
        <f>VLOOKUP(B40,オッズデータ入力!$AM$8:$AN$25,2,FALSE)</f>
        <v/>
      </c>
      <c r="C41" s="219">
        <f>VLOOKUP(C40,オッズデータ入力!$AM$8:$AN$25,2,FALSE)</f>
        <v/>
      </c>
      <c r="D41" s="219">
        <f>VLOOKUP(D40,オッズデータ入力!$AM$8:$AN$25,2,FALSE)</f>
        <v/>
      </c>
      <c r="E41" s="219">
        <f>VLOOKUP(E40,オッズデータ入力!$AM$8:$AN$25,2,FALSE)</f>
        <v/>
      </c>
      <c r="F41" s="219">
        <f>VLOOKUP(F40,オッズデータ入力!$AM$8:$AN$25,2,FALSE)</f>
        <v/>
      </c>
      <c r="G41" s="219">
        <f>VLOOKUP(G40,オッズデータ入力!$AM$8:$AN$25,2,FALSE)</f>
        <v/>
      </c>
      <c r="H41" s="219">
        <f>VLOOKUP(H40,オッズデータ入力!$AM$8:$AN$25,2,FALSE)</f>
        <v/>
      </c>
      <c r="I41" s="219">
        <f>VLOOKUP(I40,オッズデータ入力!$AM$8:$AN$25,2,FALSE)</f>
        <v/>
      </c>
      <c r="J41" s="219">
        <f>VLOOKUP(J40,オッズデータ入力!$AM$8:$AN$25,2,FALSE)</f>
        <v/>
      </c>
      <c r="K41" s="219">
        <f>VLOOKUP(K40,オッズデータ入力!$AM$8:$AN$25,2,FALSE)</f>
        <v/>
      </c>
      <c r="L41" s="219">
        <f>VLOOKUP(L40,オッズデータ入力!$AM$8:$AN$25,2,FALSE)</f>
        <v/>
      </c>
      <c r="N41" s="219">
        <f>VLOOKUP(N40,オッズデータ入力!$AM$8:$AN$25,2,FALSE)</f>
        <v/>
      </c>
      <c r="O41" s="219">
        <f>VLOOKUP(O40,オッズデータ入力!$AM$8:$AN$25,2,FALSE)</f>
        <v/>
      </c>
      <c r="Q41" s="219">
        <f>VLOOKUP(Q40,オッズデータ入力!$AM$8:$AN$25,2,FALSE)</f>
        <v/>
      </c>
    </row>
    <row r="42">
      <c r="B42" s="1" t="n"/>
      <c r="C42" s="1" t="n"/>
      <c r="E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B43" s="1" t="inlineStr">
        <is>
          <t>△</t>
        </is>
      </c>
      <c r="C43" s="1" t="inlineStr">
        <is>
          <t>△</t>
        </is>
      </c>
      <c r="D43" s="1" t="inlineStr">
        <is>
          <t>△</t>
        </is>
      </c>
      <c r="E43" s="1" t="inlineStr">
        <is>
          <t>△</t>
        </is>
      </c>
      <c r="F43" s="1" t="inlineStr">
        <is>
          <t>△</t>
        </is>
      </c>
      <c r="G43" s="1" t="inlineStr">
        <is>
          <t>△</t>
        </is>
      </c>
      <c r="H43" s="1" t="inlineStr">
        <is>
          <t>△</t>
        </is>
      </c>
      <c r="I43" s="1" t="inlineStr">
        <is>
          <t>△</t>
        </is>
      </c>
      <c r="J43" s="1" t="inlineStr">
        <is>
          <t>△</t>
        </is>
      </c>
      <c r="K43" s="1" t="inlineStr">
        <is>
          <t>△</t>
        </is>
      </c>
      <c r="L43" s="1" t="inlineStr">
        <is>
          <t>△</t>
        </is>
      </c>
      <c r="N43" s="1" t="inlineStr">
        <is>
          <t>◎</t>
        </is>
      </c>
      <c r="P43" s="1" t="inlineStr">
        <is>
          <t>〇</t>
        </is>
      </c>
      <c r="Q43" s="1" t="inlineStr">
        <is>
          <t>▲</t>
        </is>
      </c>
    </row>
    <row r="44">
      <c r="A44" s="354" t="inlineStr">
        <is>
          <t>⑥　11-1-2（22点）</t>
        </is>
      </c>
      <c r="B44" s="520" t="n">
        <v>4</v>
      </c>
      <c r="C44" s="520" t="n">
        <v>5</v>
      </c>
      <c r="D44" s="520" t="n">
        <v>6</v>
      </c>
      <c r="E44" s="520" t="n">
        <v>7</v>
      </c>
      <c r="F44" s="520" t="n">
        <v>8</v>
      </c>
      <c r="G44" s="520" t="n">
        <v>9</v>
      </c>
      <c r="H44" s="520" t="n">
        <v>10</v>
      </c>
      <c r="I44" s="520" t="n">
        <v>11</v>
      </c>
      <c r="J44" s="520" t="n">
        <v>12</v>
      </c>
      <c r="K44" s="520" t="n">
        <v>13</v>
      </c>
      <c r="L44" s="520" t="n">
        <v>14</v>
      </c>
      <c r="M44" s="523" t="inlineStr">
        <is>
          <t>〉〉〉</t>
        </is>
      </c>
      <c r="N44" s="520" t="n">
        <v>1</v>
      </c>
      <c r="O44" s="523" t="inlineStr">
        <is>
          <t>〉〉〉</t>
        </is>
      </c>
      <c r="P44" s="520" t="n">
        <v>2</v>
      </c>
      <c r="Q44" s="520" t="n">
        <v>3</v>
      </c>
    </row>
    <row r="45">
      <c r="B45" s="219">
        <f>VLOOKUP(B44,オッズデータ入力!$AM$8:$AN$25,2,FALSE)</f>
        <v/>
      </c>
      <c r="C45" s="219">
        <f>VLOOKUP(C44,オッズデータ入力!$AM$8:$AN$25,2,FALSE)</f>
        <v/>
      </c>
      <c r="D45" s="219">
        <f>VLOOKUP(D44,オッズデータ入力!$AM$8:$AN$25,2,FALSE)</f>
        <v/>
      </c>
      <c r="E45" s="219">
        <f>VLOOKUP(E44,オッズデータ入力!$AM$8:$AN$25,2,FALSE)</f>
        <v/>
      </c>
      <c r="F45" s="219">
        <f>VLOOKUP(F44,オッズデータ入力!$AM$8:$AN$25,2,FALSE)</f>
        <v/>
      </c>
      <c r="G45" s="219">
        <f>VLOOKUP(G44,オッズデータ入力!$AM$8:$AN$25,2,FALSE)</f>
        <v/>
      </c>
      <c r="H45" s="219">
        <f>VLOOKUP(H44,オッズデータ入力!$AM$8:$AN$25,2,FALSE)</f>
        <v/>
      </c>
      <c r="I45" s="219">
        <f>VLOOKUP(I44,オッズデータ入力!$AM$8:$AN$25,2,FALSE)</f>
        <v/>
      </c>
      <c r="J45" s="219">
        <f>VLOOKUP(J44,オッズデータ入力!$AM$8:$AN$25,2,FALSE)</f>
        <v/>
      </c>
      <c r="K45" s="219">
        <f>VLOOKUP(K44,オッズデータ入力!$AM$8:$AN$25,2,FALSE)</f>
        <v/>
      </c>
      <c r="L45" s="219">
        <f>VLOOKUP(L44,オッズデータ入力!$AM$8:$AN$25,2,FALSE)</f>
        <v/>
      </c>
      <c r="N45" s="219">
        <f>VLOOKUP(N44,オッズデータ入力!$AM$8:$AN$25,2,FALSE)</f>
        <v/>
      </c>
      <c r="P45" s="219">
        <f>VLOOKUP(P44,オッズデータ入力!$AM$8:$AN$25,2,FALSE)</f>
        <v/>
      </c>
      <c r="Q45" s="219">
        <f>VLOOKUP(Q44,オッズデータ入力!$AM$8:$AN$25,2,FALSE)</f>
        <v/>
      </c>
    </row>
    <row r="46">
      <c r="D46" s="115" t="n"/>
      <c r="I46" s="115" t="n"/>
    </row>
    <row r="47">
      <c r="D47" s="115" t="n"/>
      <c r="I47" s="115" t="n"/>
    </row>
    <row r="48">
      <c r="D48" s="115" t="n"/>
      <c r="I48" s="115" t="n"/>
    </row>
  </sheetData>
  <mergeCells count="1">
    <mergeCell ref="A1:C1"/>
  </mergeCells>
  <pageMargins left="0.7086614173228347" right="0.7086614173228347" top="0.7480314960629921" bottom="0.7480314960629921" header="0.3149606299212598" footer="0.3149606299212598"/>
  <pageSetup orientation="portrait" paperSize="9" scale="59" horizontalDpi="4294967293" verticalDpi="0"/>
</worksheet>
</file>

<file path=xl/worksheets/sheet10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Q48"/>
  <sheetViews>
    <sheetView workbookViewId="0">
      <selection activeCell="G8" sqref="G8"/>
    </sheetView>
  </sheetViews>
  <sheetFormatPr baseColWidth="8" defaultRowHeight="18.75"/>
  <cols>
    <col width="28.875" customWidth="1" style="354" min="1" max="1"/>
    <col width="6.625" customWidth="1" min="2" max="20"/>
  </cols>
  <sheetData>
    <row r="1" ht="27.75" customHeight="1" thickBot="1">
      <c r="A1" s="356" t="inlineStr">
        <is>
          <t xml:space="preserve">WIN５ 3連単フォーメーション </t>
        </is>
      </c>
      <c r="B1" s="442" t="n"/>
      <c r="C1" s="443" t="n"/>
    </row>
    <row r="2" customFormat="1" s="1">
      <c r="A2" s="354" t="n"/>
      <c r="B2" s="1" t="inlineStr">
        <is>
          <t>◎</t>
        </is>
      </c>
      <c r="D2" s="1" t="inlineStr">
        <is>
          <t>〇</t>
        </is>
      </c>
      <c r="E2" s="1" t="inlineStr">
        <is>
          <t>▲</t>
        </is>
      </c>
      <c r="G2" s="1" t="inlineStr">
        <is>
          <t>〇</t>
        </is>
      </c>
      <c r="H2" s="1" t="inlineStr">
        <is>
          <t>▲</t>
        </is>
      </c>
      <c r="I2" s="1" t="inlineStr">
        <is>
          <t>△</t>
        </is>
      </c>
      <c r="J2" s="1" t="inlineStr">
        <is>
          <t>★</t>
        </is>
      </c>
      <c r="K2" s="1" t="inlineStr">
        <is>
          <t>☆</t>
        </is>
      </c>
      <c r="L2" s="1" t="inlineStr">
        <is>
          <t>◆</t>
        </is>
      </c>
    </row>
    <row r="3" customFormat="1" s="521">
      <c r="A3" s="522" t="inlineStr">
        <is>
          <t>①　1-2-6（10点）</t>
        </is>
      </c>
      <c r="B3" s="520" t="n">
        <v>1</v>
      </c>
      <c r="C3" s="523" t="inlineStr">
        <is>
          <t>〉〉〉</t>
        </is>
      </c>
      <c r="D3" s="520" t="n">
        <v>2</v>
      </c>
      <c r="E3" s="520" t="n">
        <v>3</v>
      </c>
      <c r="F3" s="523" t="inlineStr">
        <is>
          <t>〉〉〉</t>
        </is>
      </c>
      <c r="G3" s="520" t="n">
        <v>2</v>
      </c>
      <c r="H3" s="520" t="n">
        <v>3</v>
      </c>
      <c r="I3" s="520" t="n">
        <v>4</v>
      </c>
      <c r="J3" s="520" t="n">
        <v>5</v>
      </c>
      <c r="K3" s="520" t="n">
        <v>6</v>
      </c>
      <c r="L3" s="520" t="n">
        <v>7</v>
      </c>
      <c r="M3" s="522" t="n"/>
    </row>
    <row r="4" customFormat="1" s="1">
      <c r="A4" s="115" t="n"/>
      <c r="B4" s="219">
        <f>VLOOKUP(B3,オッズデータ入力!$AY$8:$AZ$25,2,FALSE)</f>
        <v/>
      </c>
      <c r="C4" s="353" t="n"/>
      <c r="D4" s="219">
        <f>VLOOKUP(D3,オッズデータ入力!$AY$8:$AZ$25,2,FALSE)</f>
        <v/>
      </c>
      <c r="E4" s="219">
        <f>VLOOKUP(E3,オッズデータ入力!$AY$8:$AZ$25,2,FALSE)</f>
        <v/>
      </c>
      <c r="G4" s="219">
        <f>VLOOKUP(G3,オッズデータ入力!$AY$8:$AZ$25,2,FALSE)</f>
        <v/>
      </c>
      <c r="H4" s="219">
        <f>VLOOKUP(H3,オッズデータ入力!$AY$8:$AZ$25,2,FALSE)</f>
        <v/>
      </c>
      <c r="I4" s="219">
        <f>VLOOKUP(I3,オッズデータ入力!$AY$8:$AZ$25,2,FALSE)</f>
        <v/>
      </c>
      <c r="J4" s="219">
        <f>VLOOKUP(J3,オッズデータ入力!$AY$8:$AZ$25,2,FALSE)</f>
        <v/>
      </c>
      <c r="K4" s="219">
        <f>VLOOKUP(K3,オッズデータ入力!$AY$8:$AZ$25,2,FALSE)</f>
        <v/>
      </c>
      <c r="L4" s="219">
        <f>VLOOKUP(L3,オッズデータ入力!$AY$8:$AZ$25,2,FALSE)</f>
        <v/>
      </c>
    </row>
    <row r="5">
      <c r="A5" s="115" t="n"/>
      <c r="B5" t="inlineStr">
        <is>
          <t>※　１着に自信あり、２着候補も絞れている場合（２着に中穴を入れておく）</t>
        </is>
      </c>
    </row>
    <row r="6" ht="37.5" customHeight="1">
      <c r="A6" s="115" t="n"/>
    </row>
    <row r="7">
      <c r="A7" s="115" t="n"/>
      <c r="B7" s="1" t="inlineStr">
        <is>
          <t>◎</t>
        </is>
      </c>
      <c r="C7" s="1" t="n"/>
      <c r="D7" s="1" t="inlineStr">
        <is>
          <t>〇</t>
        </is>
      </c>
      <c r="E7" s="1" t="inlineStr">
        <is>
          <t>▲</t>
        </is>
      </c>
      <c r="F7" s="1" t="inlineStr">
        <is>
          <t>△</t>
        </is>
      </c>
      <c r="H7" s="1" t="inlineStr">
        <is>
          <t>〇</t>
        </is>
      </c>
      <c r="I7" s="1" t="inlineStr">
        <is>
          <t>▲</t>
        </is>
      </c>
      <c r="J7" s="1" t="inlineStr">
        <is>
          <t>△</t>
        </is>
      </c>
      <c r="K7" s="1" t="inlineStr">
        <is>
          <t>★</t>
        </is>
      </c>
      <c r="L7" s="1" t="inlineStr">
        <is>
          <t>☆</t>
        </is>
      </c>
      <c r="M7" s="1" t="inlineStr">
        <is>
          <t>◆</t>
        </is>
      </c>
      <c r="N7" s="1" t="inlineStr">
        <is>
          <t>◇</t>
        </is>
      </c>
    </row>
    <row r="8">
      <c r="A8" s="115" t="inlineStr">
        <is>
          <t>②　1-3-7（18点）</t>
        </is>
      </c>
      <c r="B8" s="520" t="n">
        <v>1</v>
      </c>
      <c r="C8" s="523" t="inlineStr">
        <is>
          <t>〉〉〉</t>
        </is>
      </c>
      <c r="D8" s="520" t="n">
        <v>2</v>
      </c>
      <c r="E8" s="520" t="n">
        <v>3</v>
      </c>
      <c r="F8" s="520" t="n">
        <v>4</v>
      </c>
      <c r="G8" s="523" t="inlineStr">
        <is>
          <t>〉〉〉</t>
        </is>
      </c>
      <c r="H8" s="520" t="n">
        <v>2</v>
      </c>
      <c r="I8" s="520" t="n">
        <v>3</v>
      </c>
      <c r="J8" s="520" t="n">
        <v>4</v>
      </c>
      <c r="K8" s="520" t="n">
        <v>5</v>
      </c>
      <c r="L8" s="520" t="n">
        <v>6</v>
      </c>
      <c r="M8" s="520" t="n">
        <v>7</v>
      </c>
      <c r="N8" s="520" t="n">
        <v>8</v>
      </c>
    </row>
    <row r="9">
      <c r="B9" s="219">
        <f>VLOOKUP(B8,オッズデータ入力!$AY$8:$AZ$25,2,FALSE)</f>
        <v/>
      </c>
      <c r="C9" s="353" t="n"/>
      <c r="D9" s="219">
        <f>VLOOKUP(D8,オッズデータ入力!$AY$8:$AZ$25,2,FALSE)</f>
        <v/>
      </c>
      <c r="E9" s="219">
        <f>VLOOKUP(E8,オッズデータ入力!$AY$8:$AZ$25,2,FALSE)</f>
        <v/>
      </c>
      <c r="F9" s="219">
        <f>VLOOKUP(F8,オッズデータ入力!$AY$8:$AZ$25,2,FALSE)</f>
        <v/>
      </c>
      <c r="H9" s="219">
        <f>VLOOKUP(H8,オッズデータ入力!$AY$8:$AZ$25,2,FALSE)</f>
        <v/>
      </c>
      <c r="I9" s="219">
        <f>VLOOKUP(I8,オッズデータ入力!$AY$8:$AZ$25,2,FALSE)</f>
        <v/>
      </c>
      <c r="J9" s="219">
        <f>VLOOKUP(J8,オッズデータ入力!$AY$8:$AZ$25,2,FALSE)</f>
        <v/>
      </c>
      <c r="K9" s="219">
        <f>VLOOKUP(K8,オッズデータ入力!$AY$8:$AZ$25,2,FALSE)</f>
        <v/>
      </c>
      <c r="L9" s="219">
        <f>VLOOKUP(L8,オッズデータ入力!$AY$8:$AZ$25,2,FALSE)</f>
        <v/>
      </c>
      <c r="M9" s="219">
        <f>VLOOKUP(M8,オッズデータ入力!$AY$8:$AZ$25,2,FALSE)</f>
        <v/>
      </c>
      <c r="N9" s="219">
        <f>VLOOKUP(N8,オッズデータ入力!$AY$8:$AZ$25,2,FALSE)</f>
        <v/>
      </c>
    </row>
    <row r="10">
      <c r="B10" t="inlineStr">
        <is>
          <t>※　2着候補を3頭まで増やせる買い方（3着候補を7頭まで選べる）</t>
        </is>
      </c>
    </row>
    <row r="11" ht="37.5" customHeight="1"/>
    <row r="12">
      <c r="A12" s="354" t="inlineStr">
        <is>
          <t>③　2-2-5（10点）</t>
        </is>
      </c>
      <c r="B12" s="1" t="inlineStr">
        <is>
          <t>◎</t>
        </is>
      </c>
      <c r="C12" s="1" t="inlineStr">
        <is>
          <t>〇</t>
        </is>
      </c>
      <c r="E12" s="1" t="inlineStr">
        <is>
          <t>◎</t>
        </is>
      </c>
      <c r="F12" s="1" t="inlineStr">
        <is>
          <t>〇</t>
        </is>
      </c>
      <c r="H12" s="1" t="inlineStr">
        <is>
          <t>▲</t>
        </is>
      </c>
      <c r="I12" s="1" t="inlineStr">
        <is>
          <t>△</t>
        </is>
      </c>
      <c r="J12" s="1" t="inlineStr">
        <is>
          <t>★</t>
        </is>
      </c>
      <c r="K12" s="1" t="inlineStr">
        <is>
          <t>☆</t>
        </is>
      </c>
      <c r="L12" s="1" t="inlineStr">
        <is>
          <t>◆</t>
        </is>
      </c>
    </row>
    <row r="13">
      <c r="B13" s="520" t="n">
        <v>1</v>
      </c>
      <c r="C13" s="520" t="n">
        <v>2</v>
      </c>
      <c r="D13" s="523" t="inlineStr">
        <is>
          <t>〉〉〉</t>
        </is>
      </c>
      <c r="E13" s="520" t="n">
        <v>1</v>
      </c>
      <c r="F13" s="520" t="n">
        <v>2</v>
      </c>
      <c r="G13" s="523" t="inlineStr">
        <is>
          <t>〉〉〉</t>
        </is>
      </c>
      <c r="H13" s="520" t="n">
        <v>3</v>
      </c>
      <c r="I13" s="520" t="n">
        <v>4</v>
      </c>
      <c r="J13" s="520" t="n">
        <v>5</v>
      </c>
      <c r="K13" s="520" t="n">
        <v>6</v>
      </c>
      <c r="L13" s="520" t="n">
        <v>7</v>
      </c>
    </row>
    <row r="14">
      <c r="B14" s="219">
        <f>VLOOKUP(B13,オッズデータ入力!$AY$8:$AZ$25,2,FALSE)</f>
        <v/>
      </c>
      <c r="C14" s="219">
        <f>VLOOKUP(C13,オッズデータ入力!$AY$8:$AZ$25,2,FALSE)</f>
        <v/>
      </c>
      <c r="D14" s="353" t="n"/>
      <c r="E14" s="219">
        <f>VLOOKUP(E13,オッズデータ入力!$AY$8:$AZ$25,2,FALSE)</f>
        <v/>
      </c>
      <c r="F14" s="219">
        <f>VLOOKUP(F13,オッズデータ入力!$AY$8:$AZ$25,2,FALSE)</f>
        <v/>
      </c>
      <c r="G14" s="353" t="n"/>
      <c r="H14" s="219">
        <f>VLOOKUP(H13,オッズデータ入力!$AY$8:$AZ$25,2,FALSE)</f>
        <v/>
      </c>
      <c r="I14" s="219">
        <f>VLOOKUP(I13,オッズデータ入力!$AY$8:$AZ$25,2,FALSE)</f>
        <v/>
      </c>
      <c r="J14" s="219">
        <f>VLOOKUP(J13,オッズデータ入力!$AY$8:$AZ$25,2,FALSE)</f>
        <v/>
      </c>
      <c r="K14" s="219">
        <f>VLOOKUP(K13,オッズデータ入力!$AY$8:$AZ$25,2,FALSE)</f>
        <v/>
      </c>
      <c r="L14" s="219">
        <f>VLOOKUP(L13,オッズデータ入力!$AY$8:$AZ$25,2,FALSE)</f>
        <v/>
      </c>
    </row>
    <row r="15">
      <c r="B15" s="258" t="inlineStr">
        <is>
          <t>※　2頭が抜けていると判断した時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37.5" customHeight="1"/>
    <row r="17">
      <c r="A17" s="354" t="inlineStr">
        <is>
          <t>④　2-4-6（24点）</t>
        </is>
      </c>
      <c r="B17" s="1" t="inlineStr">
        <is>
          <t>◎</t>
        </is>
      </c>
      <c r="C17" s="1" t="inlineStr">
        <is>
          <t>〇</t>
        </is>
      </c>
      <c r="E17" s="1" t="inlineStr">
        <is>
          <t>◎</t>
        </is>
      </c>
      <c r="F17" s="1" t="inlineStr">
        <is>
          <t>〇</t>
        </is>
      </c>
      <c r="G17" s="1" t="inlineStr">
        <is>
          <t>▲</t>
        </is>
      </c>
      <c r="H17" s="1" t="inlineStr">
        <is>
          <t>△</t>
        </is>
      </c>
      <c r="J17" s="1" t="inlineStr">
        <is>
          <t>◎</t>
        </is>
      </c>
      <c r="K17" s="1" t="inlineStr">
        <is>
          <t>〇</t>
        </is>
      </c>
      <c r="L17" s="1" t="inlineStr">
        <is>
          <t>▲</t>
        </is>
      </c>
      <c r="M17" s="1" t="inlineStr">
        <is>
          <t>△</t>
        </is>
      </c>
      <c r="N17" s="1" t="inlineStr">
        <is>
          <t>★</t>
        </is>
      </c>
      <c r="O17" s="1" t="inlineStr">
        <is>
          <t>☆</t>
        </is>
      </c>
    </row>
    <row r="18">
      <c r="B18" s="520" t="n">
        <v>1</v>
      </c>
      <c r="C18" s="520" t="n">
        <v>2</v>
      </c>
      <c r="D18" s="523" t="inlineStr">
        <is>
          <t>〉〉〉</t>
        </is>
      </c>
      <c r="E18" s="520" t="n">
        <v>1</v>
      </c>
      <c r="F18" s="520" t="n">
        <v>2</v>
      </c>
      <c r="G18" s="520" t="n">
        <v>3</v>
      </c>
      <c r="H18" s="520" t="n">
        <v>4</v>
      </c>
      <c r="I18" s="523" t="inlineStr">
        <is>
          <t>〉〉〉</t>
        </is>
      </c>
      <c r="J18" s="520" t="n">
        <v>1</v>
      </c>
      <c r="K18" s="520" t="n">
        <v>2</v>
      </c>
      <c r="L18" s="520" t="n">
        <v>3</v>
      </c>
      <c r="M18" s="520" t="n">
        <v>4</v>
      </c>
      <c r="N18" s="520" t="n">
        <v>5</v>
      </c>
      <c r="O18" s="520" t="n">
        <v>6</v>
      </c>
    </row>
    <row r="19">
      <c r="B19" s="219">
        <f>VLOOKUP(B18,オッズデータ入力!$AY$8:$AZ$25,2,FALSE)</f>
        <v/>
      </c>
      <c r="C19" s="219">
        <f>VLOOKUP(C18,オッズデータ入力!$AY$8:$AZ$25,2,FALSE)</f>
        <v/>
      </c>
      <c r="D19" s="353" t="n"/>
      <c r="E19" s="219">
        <f>VLOOKUP(E18,オッズデータ入力!$AY$8:$AZ$25,2,FALSE)</f>
        <v/>
      </c>
      <c r="F19" s="219">
        <f>VLOOKUP(F18,オッズデータ入力!$AY$8:$AZ$25,2,FALSE)</f>
        <v/>
      </c>
      <c r="G19" s="219">
        <f>VLOOKUP(G18,オッズデータ入力!$AY$8:$AZ$25,2,FALSE)</f>
        <v/>
      </c>
      <c r="H19" s="219">
        <f>VLOOKUP(H18,オッズデータ入力!$AY$8:$AZ$25,2,FALSE)</f>
        <v/>
      </c>
      <c r="I19" s="353" t="n"/>
      <c r="J19" s="219">
        <f>VLOOKUP(J18,オッズデータ入力!$AY$8:$AZ$25,2,FALSE)</f>
        <v/>
      </c>
      <c r="K19" s="219">
        <f>VLOOKUP(K18,オッズデータ入力!$AY$8:$AZ$25,2,FALSE)</f>
        <v/>
      </c>
      <c r="L19" s="219">
        <f>VLOOKUP(L18,オッズデータ入力!$AY$8:$AZ$25,2,FALSE)</f>
        <v/>
      </c>
      <c r="M19" s="219">
        <f>VLOOKUP(M18,オッズデータ入力!$AY$8:$AZ$25,2,FALSE)</f>
        <v/>
      </c>
      <c r="N19" s="219">
        <f>VLOOKUP(N18,オッズデータ入力!$AY$8:$AZ$25,2,FALSE)</f>
        <v/>
      </c>
      <c r="O19" s="219">
        <f>VLOOKUP(O18,オッズデータ入力!$AY$8:$AZ$25,2,FALSE)</f>
        <v/>
      </c>
    </row>
    <row r="20">
      <c r="B20" t="inlineStr">
        <is>
          <t>※　2着候補を4頭まで選べる</t>
        </is>
      </c>
      <c r="D20" s="115" t="n"/>
      <c r="I20" s="115" t="n"/>
    </row>
    <row r="21" ht="36.75" customHeight="1" thickBot="1">
      <c r="D21" s="115" t="n"/>
      <c r="I21" s="115" t="n"/>
    </row>
    <row r="22" ht="23.25" customHeight="1" thickBot="1">
      <c r="A22" s="356" t="inlineStr">
        <is>
          <t>ジャイさんの買い方</t>
        </is>
      </c>
      <c r="D22" s="115" t="n"/>
      <c r="I22" s="115" t="n"/>
    </row>
    <row r="23">
      <c r="B23" s="1" t="inlineStr">
        <is>
          <t>◎</t>
        </is>
      </c>
      <c r="D23" s="1" t="inlineStr">
        <is>
          <t>〇</t>
        </is>
      </c>
      <c r="E23" s="1" t="inlineStr">
        <is>
          <t>▲</t>
        </is>
      </c>
      <c r="G23" s="1" t="inlineStr">
        <is>
          <t>△</t>
        </is>
      </c>
      <c r="H23" s="1" t="inlineStr">
        <is>
          <t>△</t>
        </is>
      </c>
      <c r="I23" s="1" t="inlineStr">
        <is>
          <t>△</t>
        </is>
      </c>
      <c r="J23" s="1" t="inlineStr">
        <is>
          <t>△</t>
        </is>
      </c>
      <c r="K23" s="1" t="inlineStr">
        <is>
          <t>△</t>
        </is>
      </c>
      <c r="L23" s="1" t="inlineStr">
        <is>
          <t>△</t>
        </is>
      </c>
      <c r="M23" s="1" t="inlineStr">
        <is>
          <t>△</t>
        </is>
      </c>
      <c r="N23" s="1" t="inlineStr">
        <is>
          <t>△</t>
        </is>
      </c>
      <c r="O23" s="1" t="inlineStr">
        <is>
          <t>△</t>
        </is>
      </c>
      <c r="P23" s="1" t="inlineStr">
        <is>
          <t>△</t>
        </is>
      </c>
      <c r="Q23" s="1" t="inlineStr">
        <is>
          <t>△</t>
        </is>
      </c>
    </row>
    <row r="24">
      <c r="A24" s="354" t="inlineStr">
        <is>
          <t>①　1-2-11（22点）</t>
        </is>
      </c>
      <c r="B24" s="520" t="n">
        <v>1</v>
      </c>
      <c r="C24" s="523" t="inlineStr">
        <is>
          <t>〉〉〉</t>
        </is>
      </c>
      <c r="D24" s="520" t="n">
        <v>2</v>
      </c>
      <c r="E24" s="520" t="n">
        <v>3</v>
      </c>
      <c r="F24" s="523" t="inlineStr">
        <is>
          <t>〉〉〉</t>
        </is>
      </c>
      <c r="G24" s="520" t="n">
        <v>4</v>
      </c>
      <c r="H24" s="520" t="n">
        <v>5</v>
      </c>
      <c r="I24" s="520" t="n">
        <v>6</v>
      </c>
      <c r="J24" s="520" t="n">
        <v>7</v>
      </c>
      <c r="K24" s="520" t="n">
        <v>8</v>
      </c>
      <c r="L24" s="520" t="n">
        <v>9</v>
      </c>
      <c r="M24" s="520" t="n">
        <v>10</v>
      </c>
      <c r="N24" s="520" t="n">
        <v>11</v>
      </c>
      <c r="O24" s="520" t="n">
        <v>12</v>
      </c>
      <c r="P24" s="520" t="n">
        <v>13</v>
      </c>
      <c r="Q24" s="520" t="n">
        <v>14</v>
      </c>
    </row>
    <row r="25">
      <c r="B25" s="219">
        <f>VLOOKUP(B24,オッズデータ入力!$AY$8:$AZ$25,2,FALSE)</f>
        <v/>
      </c>
      <c r="D25" s="219">
        <f>VLOOKUP(D24,オッズデータ入力!$AY$8:$AZ$25,2,FALSE)</f>
        <v/>
      </c>
      <c r="E25" s="219">
        <f>VLOOKUP(E24,オッズデータ入力!$AY$8:$AZ$25,2,FALSE)</f>
        <v/>
      </c>
      <c r="G25" s="219">
        <f>VLOOKUP(G24,オッズデータ入力!$AY$8:$AZ$25,2,FALSE)</f>
        <v/>
      </c>
      <c r="H25" s="219">
        <f>VLOOKUP(H24,オッズデータ入力!$AY$8:$AZ$25,2,FALSE)</f>
        <v/>
      </c>
      <c r="I25" s="219">
        <f>VLOOKUP(I24,オッズデータ入力!$AY$8:$AZ$25,2,FALSE)</f>
        <v/>
      </c>
      <c r="J25" s="219">
        <f>VLOOKUP(J24,オッズデータ入力!$AY$8:$AZ$25,2,FALSE)</f>
        <v/>
      </c>
      <c r="K25" s="219">
        <f>VLOOKUP(K24,オッズデータ入力!$AY$8:$AZ$25,2,FALSE)</f>
        <v/>
      </c>
      <c r="L25" s="219">
        <f>VLOOKUP(L24,オッズデータ入力!$AY$8:$AZ$25,2,FALSE)</f>
        <v/>
      </c>
      <c r="M25" s="219">
        <f>VLOOKUP(M24,オッズデータ入力!$AY$8:$AZ$25,2,FALSE)</f>
        <v/>
      </c>
      <c r="N25" s="219">
        <f>VLOOKUP(N24,オッズデータ入力!$AY$8:$AZ$25,2,FALSE)</f>
        <v/>
      </c>
      <c r="O25" s="219">
        <f>VLOOKUP(O24,オッズデータ入力!$AY$8:$AZ$25,2,FALSE)</f>
        <v/>
      </c>
      <c r="P25" s="219">
        <f>VLOOKUP(P24,オッズデータ入力!$AY$8:$AZ$25,2,FALSE)</f>
        <v/>
      </c>
      <c r="Q25" s="219">
        <f>VLOOKUP(Q24,オッズデータ入力!$AY$8:$AZ$25,2,FALSE)</f>
        <v/>
      </c>
    </row>
    <row r="26">
      <c r="D26" s="115" t="n"/>
      <c r="I26" s="115" t="n"/>
    </row>
    <row r="27">
      <c r="B27" s="1" t="inlineStr">
        <is>
          <t>◎</t>
        </is>
      </c>
      <c r="D27" s="1" t="inlineStr">
        <is>
          <t>△</t>
        </is>
      </c>
      <c r="E27" s="1" t="inlineStr">
        <is>
          <t>△</t>
        </is>
      </c>
      <c r="F27" s="1" t="inlineStr">
        <is>
          <t>△</t>
        </is>
      </c>
      <c r="G27" s="1" t="inlineStr">
        <is>
          <t>△</t>
        </is>
      </c>
      <c r="H27" s="1" t="inlineStr">
        <is>
          <t>△</t>
        </is>
      </c>
      <c r="I27" s="1" t="inlineStr">
        <is>
          <t>△</t>
        </is>
      </c>
      <c r="J27" s="1" t="inlineStr">
        <is>
          <t>△</t>
        </is>
      </c>
      <c r="K27" s="1" t="inlineStr">
        <is>
          <t>△</t>
        </is>
      </c>
      <c r="L27" s="1" t="inlineStr">
        <is>
          <t>△</t>
        </is>
      </c>
      <c r="M27" s="1" t="inlineStr">
        <is>
          <t>△</t>
        </is>
      </c>
      <c r="N27" s="1" t="inlineStr">
        <is>
          <t>△</t>
        </is>
      </c>
      <c r="P27" s="1" t="inlineStr">
        <is>
          <t>〇</t>
        </is>
      </c>
      <c r="Q27" s="1" t="inlineStr">
        <is>
          <t>▲</t>
        </is>
      </c>
    </row>
    <row r="28">
      <c r="A28" s="354" t="inlineStr">
        <is>
          <t>②　1-11-2（22点）</t>
        </is>
      </c>
      <c r="B28" s="520" t="n">
        <v>1</v>
      </c>
      <c r="C28" s="523" t="inlineStr">
        <is>
          <t>〉〉〉</t>
        </is>
      </c>
      <c r="D28" s="520" t="n">
        <v>4</v>
      </c>
      <c r="E28" s="520" t="n">
        <v>5</v>
      </c>
      <c r="F28" s="520" t="n">
        <v>6</v>
      </c>
      <c r="G28" s="520" t="n">
        <v>7</v>
      </c>
      <c r="H28" s="520" t="n">
        <v>8</v>
      </c>
      <c r="I28" s="520" t="n">
        <v>9</v>
      </c>
      <c r="J28" s="520" t="n">
        <v>10</v>
      </c>
      <c r="K28" s="520" t="n">
        <v>11</v>
      </c>
      <c r="L28" s="520" t="n">
        <v>12</v>
      </c>
      <c r="M28" s="520" t="n">
        <v>13</v>
      </c>
      <c r="N28" s="520" t="n">
        <v>14</v>
      </c>
      <c r="O28" s="523" t="inlineStr">
        <is>
          <t>〉〉〉</t>
        </is>
      </c>
      <c r="P28" s="520" t="n">
        <v>2</v>
      </c>
      <c r="Q28" s="520" t="n">
        <v>3</v>
      </c>
    </row>
    <row r="29">
      <c r="B29" s="219">
        <f>VLOOKUP(B28,オッズデータ入力!$AY$8:$AZ$25,2,FALSE)</f>
        <v/>
      </c>
      <c r="D29" s="219">
        <f>VLOOKUP(D28,オッズデータ入力!$AY$8:$AZ$25,2,FALSE)</f>
        <v/>
      </c>
      <c r="E29" s="219">
        <f>VLOOKUP(E28,オッズデータ入力!$AY$8:$AZ$25,2,FALSE)</f>
        <v/>
      </c>
      <c r="F29" s="219">
        <f>VLOOKUP(F28,オッズデータ入力!$AY$8:$AZ$25,2,FALSE)</f>
        <v/>
      </c>
      <c r="G29" s="219">
        <f>VLOOKUP(G28,オッズデータ入力!$AY$8:$AZ$25,2,FALSE)</f>
        <v/>
      </c>
      <c r="H29" s="219">
        <f>VLOOKUP(H28,オッズデータ入力!$AY$8:$AZ$25,2,FALSE)</f>
        <v/>
      </c>
      <c r="I29" s="219">
        <f>VLOOKUP(I28,オッズデータ入力!$AY$8:$AZ$25,2,FALSE)</f>
        <v/>
      </c>
      <c r="J29" s="219">
        <f>VLOOKUP(J28,オッズデータ入力!$AY$8:$AZ$25,2,FALSE)</f>
        <v/>
      </c>
      <c r="K29" s="219">
        <f>VLOOKUP(K28,オッズデータ入力!$AY$8:$AZ$25,2,FALSE)</f>
        <v/>
      </c>
      <c r="L29" s="219">
        <f>VLOOKUP(L28,オッズデータ入力!$AY$8:$AZ$25,2,FALSE)</f>
        <v/>
      </c>
      <c r="M29" s="219">
        <f>VLOOKUP(M28,オッズデータ入力!$AY$8:$AZ$25,2,FALSE)</f>
        <v/>
      </c>
      <c r="N29" s="219">
        <f>VLOOKUP(N28,オッズデータ入力!$AY$8:$AZ$25,2,FALSE)</f>
        <v/>
      </c>
      <c r="P29" s="219">
        <f>VLOOKUP(P28,オッズデータ入力!$AY$8:$AZ$25,2,FALSE)</f>
        <v/>
      </c>
      <c r="Q29" s="219">
        <f>VLOOKUP(Q28,オッズデータ入力!$AY$8:$AZ$25,2,FALSE)</f>
        <v/>
      </c>
    </row>
    <row r="30">
      <c r="D30" s="115" t="n"/>
      <c r="I30" s="115" t="n"/>
    </row>
    <row r="31">
      <c r="B31" s="1" t="inlineStr">
        <is>
          <t>〇</t>
        </is>
      </c>
      <c r="C31" s="1" t="inlineStr">
        <is>
          <t>▲</t>
        </is>
      </c>
      <c r="E31" s="1" t="inlineStr">
        <is>
          <t>◎</t>
        </is>
      </c>
      <c r="G31" s="1" t="inlineStr">
        <is>
          <t>△</t>
        </is>
      </c>
      <c r="H31" s="1" t="inlineStr">
        <is>
          <t>△</t>
        </is>
      </c>
      <c r="I31" s="1" t="inlineStr">
        <is>
          <t>△</t>
        </is>
      </c>
      <c r="J31" s="1" t="inlineStr">
        <is>
          <t>△</t>
        </is>
      </c>
      <c r="K31" s="1" t="inlineStr">
        <is>
          <t>△</t>
        </is>
      </c>
      <c r="L31" s="1" t="inlineStr">
        <is>
          <t>△</t>
        </is>
      </c>
      <c r="M31" s="1" t="inlineStr">
        <is>
          <t>△</t>
        </is>
      </c>
      <c r="N31" s="1" t="inlineStr">
        <is>
          <t>△</t>
        </is>
      </c>
      <c r="O31" s="1" t="inlineStr">
        <is>
          <t>△</t>
        </is>
      </c>
      <c r="P31" s="1" t="inlineStr">
        <is>
          <t>△</t>
        </is>
      </c>
      <c r="Q31" s="1" t="inlineStr">
        <is>
          <t>△</t>
        </is>
      </c>
    </row>
    <row r="32">
      <c r="A32" s="354" t="inlineStr">
        <is>
          <t>③　2-1-11（22点）</t>
        </is>
      </c>
      <c r="B32" s="520" t="n">
        <v>2</v>
      </c>
      <c r="C32" s="520" t="n">
        <v>3</v>
      </c>
      <c r="D32" s="523" t="inlineStr">
        <is>
          <t>〉〉〉</t>
        </is>
      </c>
      <c r="E32" s="520" t="n">
        <v>1</v>
      </c>
      <c r="F32" s="523" t="inlineStr">
        <is>
          <t>〉〉〉</t>
        </is>
      </c>
      <c r="G32" s="520" t="n">
        <v>4</v>
      </c>
      <c r="H32" s="520" t="n">
        <v>5</v>
      </c>
      <c r="I32" s="520" t="n">
        <v>6</v>
      </c>
      <c r="J32" s="520" t="n">
        <v>7</v>
      </c>
      <c r="K32" s="520" t="n">
        <v>8</v>
      </c>
      <c r="L32" s="520" t="n">
        <v>9</v>
      </c>
      <c r="M32" s="520" t="n">
        <v>10</v>
      </c>
      <c r="N32" s="520" t="n">
        <v>11</v>
      </c>
      <c r="O32" s="520" t="n">
        <v>12</v>
      </c>
      <c r="P32" s="520" t="n">
        <v>13</v>
      </c>
      <c r="Q32" s="520" t="n">
        <v>14</v>
      </c>
    </row>
    <row r="33">
      <c r="B33" s="219">
        <f>VLOOKUP(B32,オッズデータ入力!$AY$8:$AZ$25,2,FALSE)</f>
        <v/>
      </c>
      <c r="C33" s="219">
        <f>VLOOKUP(C32,オッズデータ入力!$AY$8:$AZ$25,2,FALSE)</f>
        <v/>
      </c>
      <c r="E33" s="219">
        <f>VLOOKUP(E32,オッズデータ入力!$AY$8:$AZ$25,2,FALSE)</f>
        <v/>
      </c>
      <c r="G33" s="219">
        <f>VLOOKUP(G32,オッズデータ入力!$AY$8:$AZ$25,2,FALSE)</f>
        <v/>
      </c>
      <c r="H33" s="219">
        <f>VLOOKUP(H32,オッズデータ入力!$AY$8:$AZ$25,2,FALSE)</f>
        <v/>
      </c>
      <c r="I33" s="219">
        <f>VLOOKUP(I32,オッズデータ入力!$AY$8:$AZ$25,2,FALSE)</f>
        <v/>
      </c>
      <c r="J33" s="219">
        <f>VLOOKUP(J32,オッズデータ入力!$AY$8:$AZ$25,2,FALSE)</f>
        <v/>
      </c>
      <c r="K33" s="219">
        <f>VLOOKUP(K32,オッズデータ入力!$AY$8:$AZ$25,2,FALSE)</f>
        <v/>
      </c>
      <c r="L33" s="219">
        <f>VLOOKUP(L32,オッズデータ入力!$AY$8:$AZ$25,2,FALSE)</f>
        <v/>
      </c>
      <c r="M33" s="219">
        <f>VLOOKUP(M32,オッズデータ入力!$AY$8:$AZ$25,2,FALSE)</f>
        <v/>
      </c>
      <c r="N33" s="219">
        <f>VLOOKUP(N32,オッズデータ入力!$AY$8:$AZ$25,2,FALSE)</f>
        <v/>
      </c>
      <c r="O33" s="219">
        <f>VLOOKUP(O32,オッズデータ入力!$AY$8:$AZ$25,2,FALSE)</f>
        <v/>
      </c>
      <c r="P33" s="219">
        <f>VLOOKUP(P32,オッズデータ入力!$AY$8:$AZ$25,2,FALSE)</f>
        <v/>
      </c>
      <c r="Q33" s="219">
        <f>VLOOKUP(Q32,オッズデータ入力!$AY$8:$AZ$25,2,FALSE)</f>
        <v/>
      </c>
    </row>
    <row r="34">
      <c r="B34" s="1" t="n"/>
      <c r="C34" s="1" t="n"/>
      <c r="E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B35" s="1" t="inlineStr">
        <is>
          <t>〇</t>
        </is>
      </c>
      <c r="C35" s="1" t="inlineStr">
        <is>
          <t>▲</t>
        </is>
      </c>
      <c r="E35" s="1" t="inlineStr">
        <is>
          <t>△</t>
        </is>
      </c>
      <c r="F35" s="1" t="inlineStr">
        <is>
          <t>△</t>
        </is>
      </c>
      <c r="G35" s="1" t="inlineStr">
        <is>
          <t>△</t>
        </is>
      </c>
      <c r="H35" s="1" t="inlineStr">
        <is>
          <t>△</t>
        </is>
      </c>
      <c r="I35" s="1" t="inlineStr">
        <is>
          <t>△</t>
        </is>
      </c>
      <c r="J35" s="1" t="inlineStr">
        <is>
          <t>△</t>
        </is>
      </c>
      <c r="K35" s="1" t="inlineStr">
        <is>
          <t>△</t>
        </is>
      </c>
      <c r="L35" s="1" t="inlineStr">
        <is>
          <t>△</t>
        </is>
      </c>
      <c r="M35" s="1" t="inlineStr">
        <is>
          <t>△</t>
        </is>
      </c>
      <c r="N35" s="1" t="inlineStr">
        <is>
          <t>△</t>
        </is>
      </c>
      <c r="O35" s="1" t="inlineStr">
        <is>
          <t>△</t>
        </is>
      </c>
      <c r="Q35" s="1" t="inlineStr">
        <is>
          <t>◎</t>
        </is>
      </c>
    </row>
    <row r="36">
      <c r="A36" s="354" t="inlineStr">
        <is>
          <t>④　2-11-1（22点）</t>
        </is>
      </c>
      <c r="B36" s="520" t="n">
        <v>2</v>
      </c>
      <c r="C36" s="520" t="n">
        <v>3</v>
      </c>
      <c r="D36" s="523" t="inlineStr">
        <is>
          <t>〉〉〉</t>
        </is>
      </c>
      <c r="E36" s="520" t="n">
        <v>4</v>
      </c>
      <c r="F36" s="520" t="n">
        <v>5</v>
      </c>
      <c r="G36" s="520" t="n">
        <v>6</v>
      </c>
      <c r="H36" s="520" t="n">
        <v>7</v>
      </c>
      <c r="I36" s="520" t="n">
        <v>8</v>
      </c>
      <c r="J36" s="520" t="n">
        <v>9</v>
      </c>
      <c r="K36" s="520" t="n">
        <v>10</v>
      </c>
      <c r="L36" s="520" t="n">
        <v>11</v>
      </c>
      <c r="M36" s="520" t="n">
        <v>12</v>
      </c>
      <c r="N36" s="520" t="n">
        <v>13</v>
      </c>
      <c r="O36" s="520" t="n">
        <v>14</v>
      </c>
      <c r="P36" s="523" t="inlineStr">
        <is>
          <t>〉〉〉</t>
        </is>
      </c>
      <c r="Q36" s="520" t="n">
        <v>1</v>
      </c>
    </row>
    <row r="37">
      <c r="B37" s="219">
        <f>VLOOKUP(B36,オッズデータ入力!$AY$8:$AZ$25,2,FALSE)</f>
        <v/>
      </c>
      <c r="C37" s="219">
        <f>VLOOKUP(C36,オッズデータ入力!$AY$8:$AZ$25,2,FALSE)</f>
        <v/>
      </c>
      <c r="E37" s="219">
        <f>VLOOKUP(E36,オッズデータ入力!$AY$8:$AZ$25,2,FALSE)</f>
        <v/>
      </c>
      <c r="F37" s="219">
        <f>VLOOKUP(F36,オッズデータ入力!$AY$8:$AZ$25,2,FALSE)</f>
        <v/>
      </c>
      <c r="G37" s="219">
        <f>VLOOKUP(G36,オッズデータ入力!$AY$8:$AZ$25,2,FALSE)</f>
        <v/>
      </c>
      <c r="H37" s="219">
        <f>VLOOKUP(H36,オッズデータ入力!$AY$8:$AZ$25,2,FALSE)</f>
        <v/>
      </c>
      <c r="I37" s="219">
        <f>VLOOKUP(I36,オッズデータ入力!$AY$8:$AZ$25,2,FALSE)</f>
        <v/>
      </c>
      <c r="J37" s="219">
        <f>VLOOKUP(J36,オッズデータ入力!$AY$8:$AZ$25,2,FALSE)</f>
        <v/>
      </c>
      <c r="K37" s="219">
        <f>VLOOKUP(K36,オッズデータ入力!$AY$8:$AZ$25,2,FALSE)</f>
        <v/>
      </c>
      <c r="L37" s="219">
        <f>VLOOKUP(L36,オッズデータ入力!$AY$8:$AZ$25,2,FALSE)</f>
        <v/>
      </c>
      <c r="M37" s="219">
        <f>VLOOKUP(M36,オッズデータ入力!$AY$8:$AZ$25,2,FALSE)</f>
        <v/>
      </c>
      <c r="N37" s="219">
        <f>VLOOKUP(N36,オッズデータ入力!$AY$8:$AZ$25,2,FALSE)</f>
        <v/>
      </c>
      <c r="O37" s="219">
        <f>VLOOKUP(O36,オッズデータ入力!$AY$8:$AZ$25,2,FALSE)</f>
        <v/>
      </c>
      <c r="Q37" s="219">
        <f>VLOOKUP(Q36,オッズデータ入力!$AY$8:$AZ$25,2,FALSE)</f>
        <v/>
      </c>
    </row>
    <row r="38">
      <c r="B38" s="1" t="n"/>
      <c r="C38" s="1" t="n"/>
      <c r="E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B39" s="1" t="inlineStr">
        <is>
          <t>△</t>
        </is>
      </c>
      <c r="C39" s="1" t="inlineStr">
        <is>
          <t>△</t>
        </is>
      </c>
      <c r="D39" s="1" t="inlineStr">
        <is>
          <t>△</t>
        </is>
      </c>
      <c r="E39" s="1" t="inlineStr">
        <is>
          <t>△</t>
        </is>
      </c>
      <c r="F39" s="1" t="inlineStr">
        <is>
          <t>△</t>
        </is>
      </c>
      <c r="G39" s="1" t="inlineStr">
        <is>
          <t>△</t>
        </is>
      </c>
      <c r="H39" s="1" t="inlineStr">
        <is>
          <t>△</t>
        </is>
      </c>
      <c r="I39" s="1" t="inlineStr">
        <is>
          <t>△</t>
        </is>
      </c>
      <c r="J39" s="1" t="inlineStr">
        <is>
          <t>△</t>
        </is>
      </c>
      <c r="K39" s="1" t="inlineStr">
        <is>
          <t>△</t>
        </is>
      </c>
      <c r="L39" s="1" t="inlineStr">
        <is>
          <t>△</t>
        </is>
      </c>
      <c r="N39" s="1" t="inlineStr">
        <is>
          <t>〇</t>
        </is>
      </c>
      <c r="O39" s="1" t="inlineStr">
        <is>
          <t>▲</t>
        </is>
      </c>
      <c r="Q39" s="1" t="inlineStr">
        <is>
          <t>◎</t>
        </is>
      </c>
    </row>
    <row r="40">
      <c r="A40" s="354" t="inlineStr">
        <is>
          <t>⑤　11-2-1（22点）</t>
        </is>
      </c>
      <c r="B40" s="520" t="n">
        <v>4</v>
      </c>
      <c r="C40" s="520" t="n">
        <v>5</v>
      </c>
      <c r="D40" s="520" t="n">
        <v>6</v>
      </c>
      <c r="E40" s="520" t="n">
        <v>7</v>
      </c>
      <c r="F40" s="520" t="n">
        <v>8</v>
      </c>
      <c r="G40" s="520" t="n">
        <v>9</v>
      </c>
      <c r="H40" s="520" t="n">
        <v>10</v>
      </c>
      <c r="I40" s="520" t="n">
        <v>11</v>
      </c>
      <c r="J40" s="520" t="n">
        <v>12</v>
      </c>
      <c r="K40" s="520" t="n">
        <v>13</v>
      </c>
      <c r="L40" s="520" t="n">
        <v>14</v>
      </c>
      <c r="M40" s="523" t="inlineStr">
        <is>
          <t>〉〉〉</t>
        </is>
      </c>
      <c r="N40" s="520" t="n">
        <v>2</v>
      </c>
      <c r="O40" s="520" t="n">
        <v>3</v>
      </c>
      <c r="P40" s="523" t="inlineStr">
        <is>
          <t>〉〉〉</t>
        </is>
      </c>
      <c r="Q40" s="520" t="n">
        <v>1</v>
      </c>
    </row>
    <row r="41">
      <c r="B41" s="219">
        <f>VLOOKUP(B40,オッズデータ入力!$AY$8:$AZ$25,2,FALSE)</f>
        <v/>
      </c>
      <c r="C41" s="219">
        <f>VLOOKUP(C40,オッズデータ入力!$AY$8:$AZ$25,2,FALSE)</f>
        <v/>
      </c>
      <c r="D41" s="219">
        <f>VLOOKUP(D40,オッズデータ入力!$AY$8:$AZ$25,2,FALSE)</f>
        <v/>
      </c>
      <c r="E41" s="219">
        <f>VLOOKUP(E40,オッズデータ入力!$AY$8:$AZ$25,2,FALSE)</f>
        <v/>
      </c>
      <c r="F41" s="219">
        <f>VLOOKUP(F40,オッズデータ入力!$AY$8:$AZ$25,2,FALSE)</f>
        <v/>
      </c>
      <c r="G41" s="219">
        <f>VLOOKUP(G40,オッズデータ入力!$AY$8:$AZ$25,2,FALSE)</f>
        <v/>
      </c>
      <c r="H41" s="219">
        <f>VLOOKUP(H40,オッズデータ入力!$AY$8:$AZ$25,2,FALSE)</f>
        <v/>
      </c>
      <c r="I41" s="219">
        <f>VLOOKUP(I40,オッズデータ入力!$AY$8:$AZ$25,2,FALSE)</f>
        <v/>
      </c>
      <c r="J41" s="219">
        <f>VLOOKUP(J40,オッズデータ入力!$AY$8:$AZ$25,2,FALSE)</f>
        <v/>
      </c>
      <c r="K41" s="219">
        <f>VLOOKUP(K40,オッズデータ入力!$AY$8:$AZ$25,2,FALSE)</f>
        <v/>
      </c>
      <c r="L41" s="219">
        <f>VLOOKUP(L40,オッズデータ入力!$AY$8:$AZ$25,2,FALSE)</f>
        <v/>
      </c>
      <c r="N41" s="219">
        <f>VLOOKUP(N40,オッズデータ入力!$AY$8:$AZ$25,2,FALSE)</f>
        <v/>
      </c>
      <c r="O41" s="219">
        <f>VLOOKUP(O40,オッズデータ入力!$AY$8:$AZ$25,2,FALSE)</f>
        <v/>
      </c>
      <c r="Q41" s="219">
        <f>VLOOKUP(Q40,オッズデータ入力!$AY$8:$AZ$25,2,FALSE)</f>
        <v/>
      </c>
    </row>
    <row r="42">
      <c r="B42" s="1" t="n"/>
      <c r="C42" s="1" t="n"/>
      <c r="E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B43" s="1" t="inlineStr">
        <is>
          <t>△</t>
        </is>
      </c>
      <c r="C43" s="1" t="inlineStr">
        <is>
          <t>△</t>
        </is>
      </c>
      <c r="D43" s="1" t="inlineStr">
        <is>
          <t>△</t>
        </is>
      </c>
      <c r="E43" s="1" t="inlineStr">
        <is>
          <t>△</t>
        </is>
      </c>
      <c r="F43" s="1" t="inlineStr">
        <is>
          <t>△</t>
        </is>
      </c>
      <c r="G43" s="1" t="inlineStr">
        <is>
          <t>△</t>
        </is>
      </c>
      <c r="H43" s="1" t="inlineStr">
        <is>
          <t>△</t>
        </is>
      </c>
      <c r="I43" s="1" t="inlineStr">
        <is>
          <t>△</t>
        </is>
      </c>
      <c r="J43" s="1" t="inlineStr">
        <is>
          <t>△</t>
        </is>
      </c>
      <c r="K43" s="1" t="inlineStr">
        <is>
          <t>△</t>
        </is>
      </c>
      <c r="L43" s="1" t="inlineStr">
        <is>
          <t>△</t>
        </is>
      </c>
      <c r="N43" s="1" t="inlineStr">
        <is>
          <t>◎</t>
        </is>
      </c>
      <c r="P43" s="1" t="inlineStr">
        <is>
          <t>〇</t>
        </is>
      </c>
      <c r="Q43" s="1" t="inlineStr">
        <is>
          <t>▲</t>
        </is>
      </c>
    </row>
    <row r="44">
      <c r="A44" s="354" t="inlineStr">
        <is>
          <t>⑥　11-1-2（22点）</t>
        </is>
      </c>
      <c r="B44" s="520" t="n">
        <v>4</v>
      </c>
      <c r="C44" s="520" t="n">
        <v>5</v>
      </c>
      <c r="D44" s="520" t="n">
        <v>6</v>
      </c>
      <c r="E44" s="520" t="n">
        <v>7</v>
      </c>
      <c r="F44" s="520" t="n">
        <v>8</v>
      </c>
      <c r="G44" s="520" t="n">
        <v>9</v>
      </c>
      <c r="H44" s="520" t="n">
        <v>10</v>
      </c>
      <c r="I44" s="520" t="n">
        <v>11</v>
      </c>
      <c r="J44" s="520" t="n">
        <v>12</v>
      </c>
      <c r="K44" s="520" t="n">
        <v>13</v>
      </c>
      <c r="L44" s="520" t="n">
        <v>14</v>
      </c>
      <c r="M44" s="523" t="inlineStr">
        <is>
          <t>〉〉〉</t>
        </is>
      </c>
      <c r="N44" s="520" t="n">
        <v>1</v>
      </c>
      <c r="O44" s="523" t="inlineStr">
        <is>
          <t>〉〉〉</t>
        </is>
      </c>
      <c r="P44" s="520" t="n">
        <v>2</v>
      </c>
      <c r="Q44" s="520" t="n">
        <v>3</v>
      </c>
    </row>
    <row r="45">
      <c r="B45" s="219">
        <f>VLOOKUP(B44,オッズデータ入力!$AY$8:$AZ$25,2,FALSE)</f>
        <v/>
      </c>
      <c r="C45" s="219">
        <f>VLOOKUP(C44,オッズデータ入力!$AY$8:$AZ$25,2,FALSE)</f>
        <v/>
      </c>
      <c r="D45" s="219">
        <f>VLOOKUP(D44,オッズデータ入力!$AY$8:$AZ$25,2,FALSE)</f>
        <v/>
      </c>
      <c r="E45" s="219">
        <f>VLOOKUP(E44,オッズデータ入力!$AY$8:$AZ$25,2,FALSE)</f>
        <v/>
      </c>
      <c r="F45" s="219">
        <f>VLOOKUP(F44,オッズデータ入力!$AY$8:$AZ$25,2,FALSE)</f>
        <v/>
      </c>
      <c r="G45" s="219">
        <f>VLOOKUP(G44,オッズデータ入力!$AY$8:$AZ$25,2,FALSE)</f>
        <v/>
      </c>
      <c r="H45" s="219">
        <f>VLOOKUP(H44,オッズデータ入力!$AY$8:$AZ$25,2,FALSE)</f>
        <v/>
      </c>
      <c r="I45" s="219">
        <f>VLOOKUP(I44,オッズデータ入力!$AY$8:$AZ$25,2,FALSE)</f>
        <v/>
      </c>
      <c r="J45" s="219">
        <f>VLOOKUP(J44,オッズデータ入力!$AY$8:$AZ$25,2,FALSE)</f>
        <v/>
      </c>
      <c r="K45" s="219">
        <f>VLOOKUP(K44,オッズデータ入力!$AY$8:$AZ$25,2,FALSE)</f>
        <v/>
      </c>
      <c r="L45" s="219">
        <f>VLOOKUP(L44,オッズデータ入力!$AY$8:$AZ$25,2,FALSE)</f>
        <v/>
      </c>
      <c r="N45" s="219">
        <f>VLOOKUP(N44,オッズデータ入力!$AY$8:$AZ$25,2,FALSE)</f>
        <v/>
      </c>
      <c r="P45" s="219">
        <f>VLOOKUP(P44,オッズデータ入力!$AY$8:$AZ$25,2,FALSE)</f>
        <v/>
      </c>
      <c r="Q45" s="219">
        <f>VLOOKUP(Q44,オッズデータ入力!$AY$8:$AZ$25,2,FALSE)</f>
        <v/>
      </c>
    </row>
    <row r="46">
      <c r="D46" s="115" t="n"/>
      <c r="I46" s="115" t="n"/>
    </row>
    <row r="47">
      <c r="D47" s="115" t="n"/>
      <c r="I47" s="115" t="n"/>
    </row>
    <row r="48">
      <c r="D48" s="115" t="n"/>
      <c r="I48" s="115" t="n"/>
    </row>
  </sheetData>
  <mergeCells count="1">
    <mergeCell ref="A1:C1"/>
  </mergeCells>
  <pageMargins left="0.7086614173228347" right="0.7086614173228347" top="0.7480314960629921" bottom="0.7480314960629921" header="0.3149606299212598" footer="0.3149606299212598"/>
  <pageSetup orientation="portrait" paperSize="9" scale="59" horizontalDpi="4294967293" verticalDpi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selection activeCell="A1" sqref="A1:B1"/>
    </sheetView>
  </sheetViews>
  <sheetFormatPr baseColWidth="8" defaultRowHeight="18.75"/>
  <cols>
    <col width="4.5" customWidth="1" style="1" min="1" max="1"/>
    <col width="12.75" customWidth="1" style="1" min="2" max="6"/>
    <col width="20.125" customWidth="1" min="7" max="7"/>
    <col width="5" customWidth="1" min="8" max="30"/>
  </cols>
  <sheetData>
    <row r="1" ht="36.75" customHeight="1" thickBot="1">
      <c r="A1" s="440" t="inlineStr">
        <is>
          <t>月　　日</t>
        </is>
      </c>
      <c r="B1" s="524" t="n"/>
      <c r="C1" s="439" t="inlineStr">
        <is>
          <t>WIN5</t>
        </is>
      </c>
      <c r="D1" s="524" t="n"/>
      <c r="E1" s="524" t="n"/>
      <c r="F1" s="524" t="n"/>
      <c r="G1" s="524" t="n"/>
    </row>
    <row r="2" ht="19.5" customHeight="1" thickBot="1">
      <c r="A2" s="225" t="n"/>
      <c r="B2" s="226" t="n">
        <v>1</v>
      </c>
      <c r="C2" s="226" t="n">
        <v>2</v>
      </c>
      <c r="D2" s="226" t="n">
        <v>3</v>
      </c>
      <c r="E2" s="226" t="n">
        <v>4</v>
      </c>
      <c r="F2" s="226" t="n">
        <v>5</v>
      </c>
      <c r="G2" s="227" t="n"/>
    </row>
    <row r="3" ht="29.25" customHeight="1" thickTop="1">
      <c r="A3" s="222" t="n">
        <v>1</v>
      </c>
      <c r="B3" s="229" t="n"/>
      <c r="C3" s="223" t="n"/>
      <c r="D3" s="223" t="n"/>
      <c r="E3" s="223" t="n"/>
      <c r="F3" s="223" t="n"/>
      <c r="G3" s="224" t="n"/>
    </row>
    <row r="4" ht="29.25" customHeight="1">
      <c r="A4" s="218" t="n">
        <v>2</v>
      </c>
      <c r="B4" s="219" t="n"/>
      <c r="C4" s="219" t="n"/>
      <c r="D4" s="219" t="n"/>
      <c r="E4" s="219" t="n"/>
      <c r="F4" s="219" t="n"/>
      <c r="G4" s="79" t="n"/>
    </row>
    <row r="5" ht="29.25" customHeight="1">
      <c r="A5" s="218" t="n">
        <v>3</v>
      </c>
      <c r="B5" s="219" t="n"/>
      <c r="C5" s="219" t="n"/>
      <c r="D5" s="219" t="n"/>
      <c r="E5" s="219" t="n"/>
      <c r="F5" s="219" t="n"/>
      <c r="G5" s="79" t="n"/>
    </row>
    <row r="6" ht="29.25" customHeight="1">
      <c r="A6" s="218" t="n">
        <v>4</v>
      </c>
      <c r="B6" s="219" t="n"/>
      <c r="C6" s="219" t="n"/>
      <c r="D6" s="219" t="n"/>
      <c r="E6" s="219" t="n"/>
      <c r="F6" s="219" t="n"/>
      <c r="G6" s="79" t="n"/>
    </row>
    <row r="7" ht="29.25" customHeight="1">
      <c r="A7" s="218" t="n">
        <v>5</v>
      </c>
      <c r="B7" s="219" t="n"/>
      <c r="C7" s="219" t="n"/>
      <c r="D7" s="228" t="n"/>
      <c r="E7" s="219" t="n"/>
      <c r="F7" s="219" t="n"/>
      <c r="G7" s="79" t="n"/>
    </row>
    <row r="8" ht="29.25" customHeight="1">
      <c r="A8" s="218" t="n">
        <v>6</v>
      </c>
      <c r="B8" s="219" t="n"/>
      <c r="C8" s="219" t="n"/>
      <c r="D8" s="219" t="n"/>
      <c r="E8" s="219" t="n"/>
      <c r="F8" s="219" t="n"/>
      <c r="G8" s="79" t="n"/>
    </row>
    <row r="9" ht="29.25" customHeight="1">
      <c r="A9" s="218" t="n">
        <v>7</v>
      </c>
      <c r="B9" s="219" t="n"/>
      <c r="C9" s="219" t="n"/>
      <c r="D9" s="219" t="n"/>
      <c r="E9" s="219" t="n"/>
      <c r="F9" s="219" t="n"/>
      <c r="G9" s="79" t="n"/>
    </row>
    <row r="10" ht="29.25" customHeight="1">
      <c r="A10" s="218" t="n">
        <v>8</v>
      </c>
      <c r="B10" s="219" t="n"/>
      <c r="C10" s="219" t="n"/>
      <c r="D10" s="219" t="n"/>
      <c r="E10" s="219" t="n"/>
      <c r="F10" s="219" t="n"/>
      <c r="G10" s="79" t="n"/>
    </row>
    <row r="11" ht="29.25" customHeight="1">
      <c r="A11" s="218" t="n">
        <v>9</v>
      </c>
      <c r="B11" s="219" t="n"/>
      <c r="C11" s="219" t="n"/>
      <c r="D11" s="219" t="n"/>
      <c r="E11" s="219" t="n"/>
      <c r="F11" s="219" t="n"/>
      <c r="G11" s="79" t="n"/>
    </row>
    <row r="12" ht="29.25" customHeight="1">
      <c r="A12" s="218" t="n">
        <v>10</v>
      </c>
      <c r="B12" s="219" t="n"/>
      <c r="C12" s="219" t="n"/>
      <c r="D12" s="219" t="n"/>
      <c r="E12" s="219" t="n"/>
      <c r="F12" s="219" t="n"/>
      <c r="G12" s="79" t="n"/>
    </row>
    <row r="13" ht="29.25" customHeight="1">
      <c r="A13" s="218" t="n">
        <v>11</v>
      </c>
      <c r="B13" s="219" t="n"/>
      <c r="C13" s="219" t="n"/>
      <c r="D13" s="219" t="n"/>
      <c r="E13" s="219" t="n"/>
      <c r="F13" s="219" t="n"/>
      <c r="G13" s="79" t="n"/>
    </row>
    <row r="14" ht="29.25" customHeight="1">
      <c r="A14" s="218" t="n">
        <v>12</v>
      </c>
      <c r="B14" s="219" t="n"/>
      <c r="C14" s="219" t="n"/>
      <c r="D14" s="219" t="n"/>
      <c r="E14" s="219" t="n"/>
      <c r="F14" s="219" t="n"/>
      <c r="G14" s="79" t="n"/>
    </row>
    <row r="15" ht="29.25" customHeight="1">
      <c r="A15" s="218" t="n">
        <v>13</v>
      </c>
      <c r="B15" s="219" t="n"/>
      <c r="C15" s="219" t="n"/>
      <c r="D15" s="219" t="n"/>
      <c r="E15" s="219" t="n"/>
      <c r="F15" s="219" t="n"/>
      <c r="G15" s="79" t="n"/>
    </row>
    <row r="16" ht="29.25" customHeight="1">
      <c r="A16" s="218" t="n">
        <v>14</v>
      </c>
      <c r="B16" s="219" t="n"/>
      <c r="C16" s="219" t="n"/>
      <c r="D16" s="219" t="n"/>
      <c r="E16" s="219" t="n"/>
      <c r="F16" s="219" t="n"/>
      <c r="G16" s="79" t="n"/>
    </row>
    <row r="17" ht="29.25" customHeight="1">
      <c r="A17" s="218" t="n">
        <v>15</v>
      </c>
      <c r="B17" s="219" t="n"/>
      <c r="C17" s="219" t="n"/>
      <c r="D17" s="219" t="n"/>
      <c r="E17" s="219" t="n"/>
      <c r="F17" s="219" t="n"/>
      <c r="G17" s="79" t="n"/>
    </row>
    <row r="18" ht="29.25" customHeight="1">
      <c r="A18" s="218" t="n">
        <v>16</v>
      </c>
      <c r="B18" s="219" t="n"/>
      <c r="C18" s="219" t="n"/>
      <c r="D18" s="219" t="n"/>
      <c r="E18" s="219" t="n"/>
      <c r="F18" s="219" t="n"/>
      <c r="G18" s="79" t="n"/>
    </row>
    <row r="19" ht="29.25" customHeight="1">
      <c r="A19" s="218" t="n">
        <v>17</v>
      </c>
      <c r="B19" s="219" t="n"/>
      <c r="C19" s="219" t="n"/>
      <c r="D19" s="219" t="n"/>
      <c r="E19" s="219" t="n"/>
      <c r="F19" s="219" t="n"/>
      <c r="G19" s="79" t="n"/>
    </row>
    <row r="20" ht="29.25" customHeight="1">
      <c r="A20" s="218" t="n">
        <v>18</v>
      </c>
      <c r="B20" s="219" t="n"/>
      <c r="C20" s="219" t="n"/>
      <c r="D20" s="219" t="n"/>
      <c r="E20" s="219" t="n"/>
      <c r="F20" s="219" t="n"/>
      <c r="G20" s="79" t="n"/>
    </row>
    <row r="21" ht="29.25" customHeight="1">
      <c r="A21" s="218" t="n">
        <v>19</v>
      </c>
      <c r="B21" s="219" t="n"/>
      <c r="C21" s="219" t="n"/>
      <c r="D21" s="219" t="n"/>
      <c r="E21" s="219" t="n"/>
      <c r="F21" s="219" t="n"/>
      <c r="G21" s="79" t="n"/>
    </row>
    <row r="22" ht="29.25" customHeight="1">
      <c r="A22" s="218" t="n">
        <v>20</v>
      </c>
      <c r="B22" s="219" t="n"/>
      <c r="C22" s="219" t="n"/>
      <c r="D22" s="219" t="n"/>
      <c r="E22" s="219" t="n"/>
      <c r="F22" s="219" t="n"/>
      <c r="G22" s="79" t="n"/>
    </row>
    <row r="23" ht="29.25" customHeight="1">
      <c r="A23" s="218" t="n">
        <v>21</v>
      </c>
      <c r="B23" s="219" t="n"/>
      <c r="C23" s="219" t="n"/>
      <c r="D23" s="219" t="n"/>
      <c r="E23" s="219" t="n"/>
      <c r="F23" s="219" t="n"/>
      <c r="G23" s="79" t="n"/>
    </row>
    <row r="24" ht="29.25" customHeight="1">
      <c r="A24" s="218" t="n">
        <v>22</v>
      </c>
      <c r="B24" s="219" t="n"/>
      <c r="C24" s="219" t="n"/>
      <c r="D24" s="219" t="n"/>
      <c r="E24" s="219" t="n"/>
      <c r="F24" s="219" t="n"/>
      <c r="G24" s="79" t="n"/>
    </row>
    <row r="25" ht="29.25" customHeight="1">
      <c r="A25" s="218" t="n">
        <v>23</v>
      </c>
      <c r="B25" s="219" t="n"/>
      <c r="C25" s="219" t="n"/>
      <c r="D25" s="219" t="n"/>
      <c r="E25" s="219" t="n"/>
      <c r="F25" s="219" t="n"/>
      <c r="G25" s="79" t="n"/>
    </row>
    <row r="26" ht="29.25" customHeight="1">
      <c r="A26" s="218" t="n">
        <v>24</v>
      </c>
      <c r="B26" s="219" t="n"/>
      <c r="C26" s="219" t="n"/>
      <c r="D26" s="219" t="n"/>
      <c r="E26" s="219" t="n"/>
      <c r="F26" s="219" t="n"/>
      <c r="G26" s="79" t="n"/>
    </row>
    <row r="27" ht="29.25" customHeight="1">
      <c r="A27" s="218" t="n">
        <v>25</v>
      </c>
      <c r="B27" s="219" t="n"/>
      <c r="C27" s="219" t="n"/>
      <c r="D27" s="219" t="n"/>
      <c r="E27" s="219" t="n"/>
      <c r="F27" s="219" t="n"/>
      <c r="G27" s="79" t="n"/>
    </row>
    <row r="28" ht="29.25" customHeight="1">
      <c r="A28" s="218" t="n">
        <v>26</v>
      </c>
      <c r="B28" s="219" t="n"/>
      <c r="C28" s="219" t="n"/>
      <c r="D28" s="219" t="n"/>
      <c r="E28" s="219" t="n"/>
      <c r="F28" s="219" t="n"/>
      <c r="G28" s="79" t="n"/>
    </row>
    <row r="29" ht="29.25" customHeight="1">
      <c r="A29" s="218" t="n">
        <v>27</v>
      </c>
      <c r="B29" s="219" t="n"/>
      <c r="C29" s="219" t="n"/>
      <c r="D29" s="219" t="n"/>
      <c r="E29" s="219" t="n"/>
      <c r="F29" s="219" t="n"/>
      <c r="G29" s="79" t="n"/>
    </row>
    <row r="30" ht="29.25" customHeight="1">
      <c r="A30" s="218" t="n">
        <v>28</v>
      </c>
      <c r="B30" s="219" t="n"/>
      <c r="C30" s="219" t="n"/>
      <c r="D30" s="219" t="n"/>
      <c r="E30" s="219" t="n"/>
      <c r="F30" s="219" t="n"/>
      <c r="G30" s="79" t="n"/>
    </row>
    <row r="31" ht="29.25" customHeight="1">
      <c r="A31" s="218" t="n">
        <v>29</v>
      </c>
      <c r="B31" s="219" t="n"/>
      <c r="C31" s="219" t="n"/>
      <c r="D31" s="219" t="n"/>
      <c r="E31" s="219" t="n"/>
      <c r="F31" s="219" t="n"/>
      <c r="G31" s="79" t="n"/>
    </row>
    <row r="32" ht="29.25" customHeight="1" thickBot="1">
      <c r="A32" s="220" t="n">
        <v>30</v>
      </c>
      <c r="B32" s="221" t="n"/>
      <c r="C32" s="221" t="n"/>
      <c r="D32" s="221" t="n"/>
      <c r="E32" s="221" t="n"/>
      <c r="F32" s="221" t="n"/>
      <c r="G32" s="82" t="n"/>
    </row>
  </sheetData>
  <mergeCells count="2">
    <mergeCell ref="C1:G1"/>
    <mergeCell ref="A1:B1"/>
  </mergeCells>
  <pageMargins left="1.08" right="0.2" top="0.61" bottom="0.2" header="0.3149606299212598" footer="0.3149606299212598"/>
  <pageSetup orientation="portrait" paperSize="9" scale="85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入江満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2026-05-03T06:00:08Z</dcterms:modified>
  <cp:lastModifiedBy>入江 満</cp:lastModifiedBy>
  <cp:lastPrinted>2026-03-21T06:37:35Z</cp:lastPrinted>
</cp:coreProperties>
</file>